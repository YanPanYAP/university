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560"/>
  </bookViews>
  <sheets>
    <sheet name="Русский" sheetId="1" r:id="rId1"/>
    <sheet name="График" sheetId="2" r:id="rId2"/>
    <sheet name="1" sheetId="3" r:id="rId3"/>
    <sheet name="2" sheetId="4" r:id="rId4"/>
    <sheet name="3" sheetId="5" r:id="rId5"/>
    <sheet name="4" sheetId="6" r:id="rId6"/>
    <sheet name="5" sheetId="7" r:id="rId7"/>
    <sheet name="6" sheetId="8" r:id="rId8"/>
    <sheet name="7" sheetId="9" r:id="rId9"/>
    <sheet name="8" sheetId="10" r:id="rId10"/>
    <sheet name="9" sheetId="11" r:id="rId11"/>
    <sheet name="10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<sst xmlns="http://schemas.openxmlformats.org/spreadsheetml/2006/main" count="289" uniqueCount="92">
  <si>
    <t>Задание. Предприятие начало производство новой продукции. На основании данных таблицы разработать смету затрат на производство продукции по элементам и определить структуру затрат. Сформировать отпускную цену продукции с учетом планируемого уровня рентабельности. Рассчитать точку безубыточности производства изделия, предварительно определив условно-переменные и условно-постоянные затраты. Построить график безубыточности. Рассчитать кромку безопасности</t>
  </si>
  <si>
    <t>Показатели</t>
  </si>
  <si>
    <t>Варианты</t>
  </si>
  <si>
    <t>1. Годовой выпуск продукции, шт.</t>
  </si>
  <si>
    <t>2. Затраты сырья, материалов на 1 шт, $</t>
  </si>
  <si>
    <t>3. Затраты энергии на производство продукции, КВт*ч/шт</t>
  </si>
  <si>
    <t>4. Цена 1 КВт*ч, $</t>
  </si>
  <si>
    <t>5. Расходы на освещение и отопление здания, $/год</t>
  </si>
  <si>
    <t>6. Заработная плата производственных рабочих, $/год</t>
  </si>
  <si>
    <t>7. Заработная плата административного персонала, $/год</t>
  </si>
  <si>
    <t>8. Амортизация зданий, оборудования$/год</t>
  </si>
  <si>
    <t>9. Затраты на научные исследования, $/год</t>
  </si>
  <si>
    <t>10. Плата процентов по кредитам банка, $/год</t>
  </si>
  <si>
    <t>11. Оплата услуг информационных и аудиторских компаний, $/год</t>
  </si>
  <si>
    <t>12. Оплата рекламных услуг, $/год</t>
  </si>
  <si>
    <t>13. Расходы на упаковку и транспортировку продукции, $/год</t>
  </si>
  <si>
    <t>14. Рентабельность продукции, %</t>
  </si>
  <si>
    <t>ЭЛЕМЕНТЫ ЗАТРАТ</t>
  </si>
  <si>
    <t>1. Материальные и энергетические затраты, руб. (п2*п1+п3*п4*п1+п5)</t>
  </si>
  <si>
    <t>2. Заработная плата, руб. ((п5+п6))</t>
  </si>
  <si>
    <t>3. Отчисления в ФСЗН, руб. (26% от ФОТ)</t>
  </si>
  <si>
    <t>4. Амортизационные отчисления, руб. (п8)</t>
  </si>
  <si>
    <t>5. Прочие, руб. (п9+п10+п11+п12+п13)</t>
  </si>
  <si>
    <t>ИТОГО, $</t>
  </si>
  <si>
    <t>6. Себестоимость, $/изделие</t>
  </si>
  <si>
    <t>7. Цена, $/изделие</t>
  </si>
  <si>
    <t>8. Условно-постоянные (УПР) расходы, тыс. $ (п5+п7+п7*26%+п8+п9+п10+п11+п12)</t>
  </si>
  <si>
    <t>9. Условно-переменные на 1ш т, $ (Собщ-УПР)/В</t>
  </si>
  <si>
    <t>Точка окупаемости, шт</t>
  </si>
  <si>
    <t>СТРУКТУРА ЗАТРАТ, %</t>
  </si>
  <si>
    <t>1. Материальные затраты</t>
  </si>
  <si>
    <t>2. Фонд оплаты труда работников</t>
  </si>
  <si>
    <t>3. Отчисления в ФСЗН</t>
  </si>
  <si>
    <t>4. Амортизационные отчисления</t>
  </si>
  <si>
    <t>5. Прочие</t>
  </si>
  <si>
    <t>ИТОГО</t>
  </si>
  <si>
    <t>Запас финансовой прочности, $</t>
  </si>
  <si>
    <t>Запас финансовой прочности, %</t>
  </si>
  <si>
    <t>Методические указания</t>
  </si>
  <si>
    <t>1. Смета затрат на производство продукции (на весь объем) формируется в соответствии с Основными положениями по составу затрат, включаемых в себестоимость продукции на основании исходных данных.</t>
  </si>
  <si>
    <t>Материальные затраты включают стоимость сырья, материалов, энергии, платы за пользование природными ресурсами</t>
  </si>
  <si>
    <t>Фонд оплаты труда - основную и дополнительную заработную плату производственных рабочих и административного персонала</t>
  </si>
  <si>
    <t>Отчисления в ФСЗН - 34% от фонда отплаты труда</t>
  </si>
  <si>
    <t>Амортизационные отчисления рассчитываются исходя из средней нормы амортизации по данной организации и стоимости основных средств общезаводского и цехового назначения</t>
  </si>
  <si>
    <t>Прочиезатраты включают расходы по содержанию и эксплуатации машин и оборудования, выплаты процентов по кредитам финансовых учреждений, оплату услуг информационных, страховых и других организаций, оплату рекламных, дизайнерских услуг, расходы на транспортировку продукции (коммерческие расходы), расходы на энергию на хозяйственные нужды и пр.</t>
  </si>
  <si>
    <t>2. Рассчитывается себестоимость единицы изделия С, руб., как отношение общей суммы затрат произведенной продукции к годовому выпуску продукции в натуральном выражении.</t>
  </si>
  <si>
    <t>3. Находится отпускная цена единицы нового изделия в следующей последовательности:</t>
  </si>
  <si>
    <t>– определяется размер прибыли, приходящейся на единицу продукции Пр, тыс. руб., по формуле</t>
  </si>
  <si>
    <t>где С – полная себестоимость единицы изделия, руб.; R – планируемый процент рентабельности;</t>
  </si>
  <si>
    <t>– рассчитывается отпускная цена Ц, тыс. руб., изделия по формуле</t>
  </si>
  <si>
    <t>4. Группируются элементы затрат:</t>
  </si>
  <si>
    <t>– на условно-постоянные (не зависят непосредственно от количества изготовляемой продукции);</t>
  </si>
  <si>
    <t>– условно-переменные.</t>
  </si>
  <si>
    <t>5. Определяется точка безубыточности Вбез производства изделий по формуле</t>
  </si>
  <si>
    <t xml:space="preserve">                                        </t>
  </si>
  <si>
    <t xml:space="preserve">                                    </t>
  </si>
  <si>
    <t xml:space="preserve">где Зпост – условно-постоянные затраты на весь выпуск продукции, руб.; </t>
  </si>
  <si>
    <t xml:space="preserve">      Зпер – условно-переменные затраты на единицу продукции, руб.</t>
  </si>
  <si>
    <t>Точка безубыточности - объём производства и реализации продукции, при котором расходы будут компенсированы доходами, а при производстве и реализации каждой последующей единицы продукции предприятие начинает получать прибыль</t>
  </si>
  <si>
    <t>6. Строится круговая диаграмма структуры затрат по элементам, график точки безубыточности (см лист "График")</t>
  </si>
  <si>
    <t>7. Рассчитывается запас финансовой прочности (при построении графика точки безубыточности, см лист "График")</t>
  </si>
  <si>
    <t>Насколько далеко предприятие от точки безубыточности показывает запас финансовой прочности (кромка безопасности). Это разность между фактическим объемом выпуска и объемом выпуска в точке безубыточности. Рассчитывается процентное отношение запаса финансовой прочности к фактическому объему.</t>
  </si>
  <si>
    <t>Запасом финансовой прочности считается запас прочности выше 30%</t>
  </si>
  <si>
    <t>Вариант 9</t>
  </si>
  <si>
    <t>Объем производства, шт</t>
  </si>
  <si>
    <t>Зпост, тыс. руб.</t>
  </si>
  <si>
    <t>Зпер, тыс. руб/шт</t>
  </si>
  <si>
    <t>Зитого</t>
  </si>
  <si>
    <t>Выручка.общ, тыс. руб.</t>
  </si>
  <si>
    <t>Прибыль, тыс. руб.</t>
  </si>
  <si>
    <t>Кромка безопасности, тыс. руб. (Выручка ф(пл) - Выручка в точке безуб)</t>
  </si>
  <si>
    <t>Кромка безопасности, % (Кромка безопасности, тыс. руб./Выручка, тыс. руб.*100)</t>
  </si>
  <si>
    <t>Исходные данные для разработки графика</t>
  </si>
  <si>
    <t>В без, шт</t>
  </si>
  <si>
    <t>Зпер, руб./шт</t>
  </si>
  <si>
    <t>Ц, руб./шт</t>
  </si>
  <si>
    <t>Выпуск ф, шт</t>
  </si>
  <si>
    <t>The volume of production, products</t>
  </si>
  <si>
    <t>Fixed costs, thousand $</t>
  </si>
  <si>
    <t>Variable costs, thousand $</t>
  </si>
  <si>
    <t>Total cost, thousand $</t>
  </si>
  <si>
    <t>Revenue from product sales, thousand $</t>
  </si>
  <si>
    <t>Profit, thousand $</t>
  </si>
  <si>
    <t>Financial strength margin, thousand $ (Actual revenue from product sales - Revenue from product sales at the break-even point)</t>
  </si>
  <si>
    <t>Financial strength margin, % (Financial strength margin/Revenue from product sales*100)</t>
  </si>
  <si>
    <t>Payback point (break-even production volume), products</t>
  </si>
  <si>
    <t>Fixed costs, $</t>
  </si>
  <si>
    <t>Variable costs, $/product</t>
  </si>
  <si>
    <t>Price, $/product</t>
  </si>
  <si>
    <t>Release of products according to plan, products</t>
  </si>
  <si>
    <t>Fixed costs,  $</t>
  </si>
  <si>
    <t>Variable costs,  thousand $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</si>
</sst>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39">
    <font>
      <sz val="11"/>
      <color theme="1"/>
      <name val="Calibri"/>
      <charset val="134"/>
      <scheme val="minor"/>
    </font>
    <font>
      <b/>
      <sz val="10"/>
      <name val="Arial Cyr"/>
      <charset val="134"/>
    </font>
    <font>
      <b/>
      <sz val="12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b/>
      <i/>
      <sz val="12"/>
      <name val="Arial Cyr"/>
      <charset val="134"/>
    </font>
    <font>
      <b/>
      <sz val="10"/>
      <color rgb="FFFF0000"/>
      <name val="Arial Cyr"/>
      <charset val="134"/>
    </font>
    <font>
      <b/>
      <sz val="12"/>
      <name val="Arial Cyr"/>
      <charset val="134"/>
    </font>
    <font>
      <b/>
      <sz val="12"/>
      <color rgb="FFC000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2"/>
      <color indexed="8"/>
      <name val="Calibri"/>
      <charset val="134"/>
      <scheme val="minor"/>
    </font>
    <font>
      <sz val="9"/>
      <name val="Calibri"/>
      <charset val="134"/>
      <scheme val="minor"/>
    </font>
    <font>
      <b/>
      <i/>
      <sz val="12"/>
      <color rgb="FFC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333333"/>
      <name val="Calibri"/>
      <charset val="134"/>
      <scheme val="minor"/>
    </font>
    <font>
      <sz val="11"/>
      <color rgb="FF11111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 tint="0.79998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0" fillId="12" borderId="12">
      <alignment vertical="center"/>
    </xf>
    <xf numFmtId="0" fontId="5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6" fillId="0" borderId="13">
      <alignment vertical="center"/>
    </xf>
    <xf numFmtId="0" fontId="27" fillId="0" borderId="13">
      <alignment vertical="center"/>
    </xf>
    <xf numFmtId="0" fontId="28" fillId="0" borderId="14">
      <alignment vertical="center"/>
    </xf>
    <xf numFmtId="0" fontId="28" fillId="0" borderId="0">
      <alignment vertical="center"/>
    </xf>
    <xf numFmtId="0" fontId="29" fillId="13" borderId="15">
      <alignment vertical="center"/>
    </xf>
    <xf numFmtId="0" fontId="30" fillId="14" borderId="16">
      <alignment vertical="center"/>
    </xf>
    <xf numFmtId="0" fontId="31" fillId="14" borderId="15">
      <alignment vertical="center"/>
    </xf>
    <xf numFmtId="0" fontId="32" fillId="15" borderId="17">
      <alignment vertical="center"/>
    </xf>
    <xf numFmtId="0" fontId="33" fillId="0" borderId="18">
      <alignment vertical="center"/>
    </xf>
    <xf numFmtId="0" fontId="34" fillId="0" borderId="19">
      <alignment vertical="center"/>
    </xf>
    <xf numFmtId="0" fontId="35" fillId="16" borderId="0">
      <alignment vertical="center"/>
    </xf>
    <xf numFmtId="0" fontId="36" fillId="17" borderId="0">
      <alignment vertical="center"/>
    </xf>
    <xf numFmtId="0" fontId="37" fillId="18" borderId="0">
      <alignment vertical="center"/>
    </xf>
    <xf numFmtId="0" fontId="38" fillId="19" borderId="0">
      <alignment vertical="center"/>
    </xf>
    <xf numFmtId="0" fontId="0" fillId="20" borderId="0">
      <alignment vertical="center"/>
    </xf>
    <xf numFmtId="0" fontId="0" fillId="21" borderId="0">
      <alignment vertical="center"/>
    </xf>
    <xf numFmtId="0" fontId="38" fillId="22" borderId="0">
      <alignment vertical="center"/>
    </xf>
    <xf numFmtId="0" fontId="38" fillId="23" borderId="0">
      <alignment vertical="center"/>
    </xf>
    <xf numFmtId="0" fontId="0" fillId="2" borderId="0">
      <alignment vertical="center"/>
    </xf>
    <xf numFmtId="0" fontId="0" fillId="24" borderId="0">
      <alignment vertical="center"/>
    </xf>
    <xf numFmtId="0" fontId="38" fillId="25" borderId="0">
      <alignment vertical="center"/>
    </xf>
    <xf numFmtId="0" fontId="38" fillId="26" borderId="0">
      <alignment vertical="center"/>
    </xf>
    <xf numFmtId="0" fontId="0" fillId="27" borderId="0">
      <alignment vertical="center"/>
    </xf>
    <xf numFmtId="0" fontId="0" fillId="28" borderId="0">
      <alignment vertical="center"/>
    </xf>
    <xf numFmtId="0" fontId="38" fillId="29" borderId="0">
      <alignment vertical="center"/>
    </xf>
    <xf numFmtId="0" fontId="38" fillId="30" borderId="0">
      <alignment vertical="center"/>
    </xf>
    <xf numFmtId="0" fontId="0" fillId="9" borderId="0">
      <alignment vertical="center"/>
    </xf>
    <xf numFmtId="0" fontId="0" fillId="31" borderId="0">
      <alignment vertical="center"/>
    </xf>
    <xf numFmtId="0" fontId="38" fillId="32" borderId="0">
      <alignment vertical="center"/>
    </xf>
    <xf numFmtId="0" fontId="38" fillId="33" borderId="0">
      <alignment vertical="center"/>
    </xf>
    <xf numFmtId="0" fontId="0" fillId="8" borderId="0">
      <alignment vertical="center"/>
    </xf>
    <xf numFmtId="0" fontId="0" fillId="34" borderId="0">
      <alignment vertical="center"/>
    </xf>
    <xf numFmtId="0" fontId="38" fillId="35" borderId="0">
      <alignment vertical="center"/>
    </xf>
    <xf numFmtId="0" fontId="38" fillId="36" borderId="0">
      <alignment vertical="center"/>
    </xf>
    <xf numFmtId="0" fontId="0" fillId="7" borderId="0">
      <alignment vertical="center"/>
    </xf>
    <xf numFmtId="0" fontId="0" fillId="37" borderId="0">
      <alignment vertical="center"/>
    </xf>
    <xf numFmtId="0" fontId="38" fillId="10" borderId="0">
      <alignment vertical="center"/>
    </xf>
  </cellStyleXfs>
  <cellXfs count="8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0" borderId="2" xfId="0" applyBorder="1"/>
    <xf numFmtId="2" fontId="0" fillId="0" borderId="2" xfId="0" applyNumberFormat="1" applyBorder="1"/>
    <xf numFmtId="2" fontId="3" fillId="0" borderId="2" xfId="0" applyNumberFormat="1" applyFont="1" applyBorder="1"/>
    <xf numFmtId="0" fontId="3" fillId="0" borderId="2" xfId="0" applyFont="1" applyBorder="1"/>
    <xf numFmtId="0" fontId="4" fillId="0" borderId="2" xfId="0" applyFont="1" applyBorder="1" applyAlignment="1">
      <alignment wrapText="1"/>
    </xf>
    <xf numFmtId="2" fontId="2" fillId="0" borderId="2" xfId="0" applyNumberFormat="1" applyFont="1" applyBorder="1"/>
    <xf numFmtId="1" fontId="2" fillId="0" borderId="2" xfId="0" applyNumberFormat="1" applyFont="1" applyBorder="1"/>
    <xf numFmtId="0" fontId="2" fillId="0" borderId="2" xfId="0" applyFont="1" applyBorder="1"/>
    <xf numFmtId="0" fontId="4" fillId="0" borderId="2" xfId="0" applyFont="1" applyBorder="1"/>
    <xf numFmtId="0" fontId="1" fillId="2" borderId="3" xfId="0" applyFont="1" applyFill="1" applyBorder="1" applyAlignment="1">
      <alignment horizontal="center" wrapText="1"/>
    </xf>
    <xf numFmtId="2" fontId="5" fillId="0" borderId="2" xfId="0" applyNumberFormat="1" applyFont="1" applyBorder="1"/>
    <xf numFmtId="0" fontId="6" fillId="0" borderId="2" xfId="0" applyFont="1" applyBorder="1"/>
    <xf numFmtId="0" fontId="7" fillId="4" borderId="0" xfId="0" applyFont="1" applyFill="1"/>
    <xf numFmtId="0" fontId="0" fillId="4" borderId="0" xfId="0" applyFill="1"/>
    <xf numFmtId="1" fontId="0" fillId="0" borderId="2" xfId="0" applyNumberFormat="1" applyBorder="1"/>
    <xf numFmtId="0" fontId="8" fillId="0" borderId="2" xfId="0" applyFont="1" applyBorder="1"/>
    <xf numFmtId="2" fontId="8" fillId="0" borderId="2" xfId="0" applyNumberFormat="1" applyFont="1" applyBorder="1"/>
    <xf numFmtId="178" fontId="0" fillId="0" borderId="2" xfId="0" applyNumberFormat="1" applyBorder="1"/>
    <xf numFmtId="178" fontId="8" fillId="0" borderId="2" xfId="0" applyNumberFormat="1" applyFont="1" applyBorder="1"/>
    <xf numFmtId="0" fontId="9" fillId="0" borderId="0" xfId="0" applyFont="1"/>
    <xf numFmtId="0" fontId="9" fillId="4" borderId="0" xfId="0" applyFont="1" applyFill="1"/>
    <xf numFmtId="178" fontId="8" fillId="5" borderId="2" xfId="0" applyNumberFormat="1" applyFont="1" applyFill="1" applyBorder="1"/>
    <xf numFmtId="0" fontId="10" fillId="0" borderId="4" xfId="0" applyFont="1" applyBorder="1" applyAlignment="1">
      <alignment horizontal="left" wrapText="1"/>
    </xf>
    <xf numFmtId="0" fontId="0" fillId="0" borderId="4" xfId="0" applyBorder="1"/>
    <xf numFmtId="0" fontId="11" fillId="2" borderId="5" xfId="0" applyFont="1" applyFill="1" applyBorder="1" applyAlignment="1">
      <alignment horizontal="center" vertical="top" wrapText="1"/>
    </xf>
    <xf numFmtId="0" fontId="12" fillId="2" borderId="6" xfId="0" applyFont="1" applyFill="1" applyBorder="1" applyAlignment="1">
      <alignment horizontal="center" vertical="top" wrapText="1"/>
    </xf>
    <xf numFmtId="0" fontId="0" fillId="0" borderId="7" xfId="0" applyBorder="1"/>
    <xf numFmtId="0" fontId="0" fillId="0" borderId="8" xfId="0" applyBorder="1"/>
    <xf numFmtId="0" fontId="11" fillId="2" borderId="9" xfId="0" applyFont="1" applyFill="1" applyBorder="1" applyAlignment="1">
      <alignment horizontal="center" vertical="top" wrapText="1"/>
    </xf>
    <xf numFmtId="0" fontId="13" fillId="6" borderId="2" xfId="0" applyFont="1" applyFill="1" applyBorder="1" applyAlignment="1">
      <alignment horizontal="justify" vertical="top" wrapText="1"/>
    </xf>
    <xf numFmtId="0" fontId="13" fillId="6" borderId="2" xfId="0" applyFont="1" applyFill="1" applyBorder="1" applyAlignment="1">
      <alignment horizontal="center" vertical="top" wrapText="1"/>
    </xf>
    <xf numFmtId="2" fontId="13" fillId="6" borderId="2" xfId="0" applyNumberFormat="1" applyFont="1" applyFill="1" applyBorder="1" applyAlignment="1">
      <alignment horizontal="justify" vertical="top" wrapText="1"/>
    </xf>
    <xf numFmtId="0" fontId="13" fillId="6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/>
    </xf>
    <xf numFmtId="2" fontId="11" fillId="7" borderId="10" xfId="0" applyNumberFormat="1" applyFont="1" applyFill="1" applyBorder="1" applyAlignment="1">
      <alignment horizontal="justify" vertical="top" wrapText="1"/>
    </xf>
    <xf numFmtId="0" fontId="14" fillId="6" borderId="10" xfId="0" applyFont="1" applyFill="1" applyBorder="1" applyAlignment="1">
      <alignment horizontal="center"/>
    </xf>
    <xf numFmtId="0" fontId="14" fillId="6" borderId="10" xfId="0" applyFont="1" applyFill="1" applyBorder="1" applyAlignment="1">
      <alignment horizontal="center" vertical="top" wrapText="1"/>
    </xf>
    <xf numFmtId="2" fontId="13" fillId="8" borderId="10" xfId="0" applyNumberFormat="1" applyFont="1" applyFill="1" applyBorder="1" applyAlignment="1">
      <alignment horizontal="justify" vertical="top" wrapText="1"/>
    </xf>
    <xf numFmtId="0" fontId="13" fillId="8" borderId="10" xfId="0" applyFont="1" applyFill="1" applyBorder="1" applyAlignment="1">
      <alignment horizontal="center"/>
    </xf>
    <xf numFmtId="2" fontId="13" fillId="8" borderId="2" xfId="0" applyNumberFormat="1" applyFont="1" applyFill="1" applyBorder="1" applyAlignment="1">
      <alignment horizontal="justify" vertical="top" wrapText="1"/>
    </xf>
    <xf numFmtId="0" fontId="13" fillId="8" borderId="2" xfId="0" applyFont="1" applyFill="1" applyBorder="1" applyAlignment="1">
      <alignment horizontal="center"/>
    </xf>
    <xf numFmtId="1" fontId="13" fillId="8" borderId="2" xfId="0" applyNumberFormat="1" applyFont="1" applyFill="1" applyBorder="1" applyAlignment="1">
      <alignment horizontal="center"/>
    </xf>
    <xf numFmtId="2" fontId="13" fillId="8" borderId="2" xfId="0" applyNumberFormat="1" applyFont="1" applyFill="1" applyBorder="1"/>
    <xf numFmtId="1" fontId="15" fillId="8" borderId="2" xfId="0" applyNumberFormat="1" applyFont="1" applyFill="1" applyBorder="1" applyAlignment="1">
      <alignment horizontal="center"/>
    </xf>
    <xf numFmtId="178" fontId="15" fillId="8" borderId="2" xfId="0" applyNumberFormat="1" applyFont="1" applyFill="1" applyBorder="1" applyAlignment="1">
      <alignment horizontal="center"/>
    </xf>
    <xf numFmtId="2" fontId="13" fillId="9" borderId="2" xfId="0" applyNumberFormat="1" applyFont="1" applyFill="1" applyBorder="1"/>
    <xf numFmtId="178" fontId="15" fillId="9" borderId="2" xfId="0" applyNumberFormat="1" applyFont="1" applyFill="1" applyBorder="1" applyAlignment="1">
      <alignment horizontal="center"/>
    </xf>
    <xf numFmtId="2" fontId="13" fillId="9" borderId="2" xfId="0" applyNumberFormat="1" applyFont="1" applyFill="1" applyBorder="1" applyAlignment="1">
      <alignment horizontal="left" vertical="top" wrapText="1"/>
    </xf>
    <xf numFmtId="1" fontId="13" fillId="9" borderId="2" xfId="0" applyNumberFormat="1" applyFont="1" applyFill="1" applyBorder="1" applyAlignment="1">
      <alignment horizontal="center"/>
    </xf>
    <xf numFmtId="2" fontId="13" fillId="9" borderId="2" xfId="0" applyNumberFormat="1" applyFont="1" applyFill="1" applyBorder="1" applyAlignment="1">
      <alignment horizontal="justify" vertical="top" wrapText="1"/>
    </xf>
    <xf numFmtId="0" fontId="11" fillId="10" borderId="2" xfId="0" applyFont="1" applyFill="1" applyBorder="1" applyAlignment="1">
      <alignment horizontal="center" vertical="top" wrapText="1"/>
    </xf>
    <xf numFmtId="1" fontId="15" fillId="7" borderId="2" xfId="0" applyNumberFormat="1" applyFont="1" applyFill="1" applyBorder="1" applyAlignment="1">
      <alignment horizontal="center"/>
    </xf>
    <xf numFmtId="0" fontId="16" fillId="9" borderId="0" xfId="0" applyFont="1" applyFill="1" applyAlignment="1">
      <alignment horizontal="center" vertical="top" wrapText="1"/>
    </xf>
    <xf numFmtId="0" fontId="17" fillId="0" borderId="0" xfId="0" applyFont="1"/>
    <xf numFmtId="1" fontId="6" fillId="7" borderId="2" xfId="0" applyNumberFormat="1" applyFont="1" applyFill="1" applyBorder="1" applyAlignment="1">
      <alignment horizontal="center"/>
    </xf>
    <xf numFmtId="2" fontId="15" fillId="8" borderId="2" xfId="0" applyNumberFormat="1" applyFont="1" applyFill="1" applyBorder="1"/>
    <xf numFmtId="1" fontId="4" fillId="7" borderId="2" xfId="0" applyNumberFormat="1" applyFont="1" applyFill="1" applyBorder="1" applyAlignment="1">
      <alignment horizontal="center"/>
    </xf>
    <xf numFmtId="2" fontId="11" fillId="8" borderId="2" xfId="0" applyNumberFormat="1" applyFont="1" applyFill="1" applyBorder="1" applyAlignment="1">
      <alignment horizontal="center" vertical="top" wrapText="1"/>
    </xf>
    <xf numFmtId="0" fontId="0" fillId="5" borderId="2" xfId="0" applyFill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19" fillId="11" borderId="0" xfId="0" applyFont="1" applyFill="1" applyAlignment="1">
      <alignment horizontal="justify" vertical="center"/>
    </xf>
    <xf numFmtId="0" fontId="6" fillId="0" borderId="0" xfId="0" applyFont="1" applyAlignment="1">
      <alignment wrapText="1"/>
    </xf>
    <xf numFmtId="0" fontId="19" fillId="0" borderId="0" xfId="0" applyFont="1" applyAlignment="1">
      <alignment horizontal="justify" vertical="center"/>
    </xf>
    <xf numFmtId="0" fontId="6" fillId="0" borderId="0" xfId="0" applyFont="1" applyAlignment="1">
      <alignment horizontal="center" vertical="center"/>
    </xf>
    <xf numFmtId="0" fontId="6" fillId="11" borderId="0" xfId="0" applyFont="1" applyFill="1" applyAlignment="1">
      <alignment horizontal="justify"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wrapText="1"/>
    </xf>
    <xf numFmtId="0" fontId="6" fillId="11" borderId="0" xfId="0" applyFont="1" applyFill="1"/>
    <xf numFmtId="0" fontId="0" fillId="0" borderId="11" xfId="0" applyBorder="1"/>
    <xf numFmtId="2" fontId="13" fillId="8" borderId="10" xfId="0" applyNumberFormat="1" applyFont="1" applyFill="1" applyBorder="1" applyAlignment="1">
      <alignment horizontal="center"/>
    </xf>
    <xf numFmtId="2" fontId="13" fillId="8" borderId="2" xfId="0" applyNumberFormat="1" applyFont="1" applyFill="1" applyBorder="1" applyAlignment="1">
      <alignment horizontal="center"/>
    </xf>
    <xf numFmtId="2" fontId="15" fillId="8" borderId="2" xfId="0" applyNumberFormat="1" applyFont="1" applyFill="1" applyBorder="1" applyAlignment="1">
      <alignment horizontal="center"/>
    </xf>
    <xf numFmtId="2" fontId="15" fillId="9" borderId="2" xfId="0" applyNumberFormat="1" applyFont="1" applyFill="1" applyBorder="1" applyAlignment="1">
      <alignment horizontal="center"/>
    </xf>
    <xf numFmtId="2" fontId="13" fillId="9" borderId="2" xfId="0" applyNumberFormat="1" applyFont="1" applyFill="1" applyBorder="1" applyAlignment="1">
      <alignment horizontal="center"/>
    </xf>
    <xf numFmtId="2" fontId="15" fillId="7" borderId="2" xfId="0" applyNumberFormat="1" applyFont="1" applyFill="1" applyBorder="1" applyAlignment="1">
      <alignment horizontal="center"/>
    </xf>
    <xf numFmtId="2" fontId="6" fillId="7" borderId="2" xfId="0" applyNumberFormat="1" applyFont="1" applyFill="1" applyBorder="1" applyAlignment="1">
      <alignment horizontal="center"/>
    </xf>
    <xf numFmtId="2" fontId="4" fillId="7" borderId="2" xfId="0" applyNumberFormat="1" applyFont="1" applyFill="1" applyBorder="1" applyAlignment="1">
      <alignment horizontal="center"/>
    </xf>
    <xf numFmtId="2" fontId="0" fillId="5" borderId="2" xfId="0" applyNumberFormat="1" applyFill="1" applyBorder="1" applyAlignment="1">
      <alignment horizontal="center"/>
    </xf>
    <xf numFmtId="1" fontId="0" fillId="0" borderId="0" xfId="0" applyNumberFormat="1"/>
    <xf numFmtId="0" fontId="6" fillId="0" borderId="0" xfId="0" applyFont="1"/>
    <xf numFmtId="0" fontId="20" fillId="0" borderId="0" xfId="0" applyFont="1" applyAlignment="1">
      <alignment vertical="center" wrapText="1"/>
    </xf>
    <xf numFmtId="0" fontId="2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Точка безубыточности, шт</a:t>
            </a:r>
          </a:p>
        </c:rich>
      </c:tx>
      <c:layout/>
      <c:overlay val="0"/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"Зитого"</c:f>
              <c:strCache>
                <c:ptCount val="1"/>
                <c:pt idx="0">
                  <c:v>Зитого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График!$A$3:$A$13</c:f>
              <c:numCache>
                <c:formatCode>0</c:formatCode>
                <c:ptCount val="11"/>
                <c:pt idx="0">
                  <c:v>1000</c:v>
                </c:pt>
                <c:pt idx="1">
                  <c:v>1100</c:v>
                </c:pt>
                <c:pt idx="2">
                  <c:v>1200</c:v>
                </c:pt>
                <c:pt idx="3">
                  <c:v>1386.2244517756</c:v>
                </c:pt>
                <c:pt idx="4">
                  <c:v>1500</c:v>
                </c:pt>
                <c:pt idx="5">
                  <c:v>3000</c:v>
                </c:pt>
                <c:pt idx="6">
                  <c:v>4000</c:v>
                </c:pt>
                <c:pt idx="7" c:formatCode="General">
                  <c:v>5500</c:v>
                </c:pt>
                <c:pt idx="8">
                  <c:v>6000</c:v>
                </c:pt>
                <c:pt idx="9">
                  <c:v>7000</c:v>
                </c:pt>
                <c:pt idx="10" c:formatCode="General">
                  <c:v>8000</c:v>
                </c:pt>
              </c:numCache>
            </c:numRef>
          </c:xVal>
          <c:yVal>
            <c:numRef>
              <c:f>График!$D$3:$D$13</c:f>
              <c:numCache>
                <c:formatCode>0.00</c:formatCode>
                <c:ptCount val="11"/>
                <c:pt idx="0">
                  <c:v>227.5368</c:v>
                </c:pt>
                <c:pt idx="1">
                  <c:v>244.5908</c:v>
                </c:pt>
                <c:pt idx="2">
                  <c:v>261.6448</c:v>
                </c:pt>
                <c:pt idx="3">
                  <c:v>293.40351800581</c:v>
                </c:pt>
                <c:pt idx="4">
                  <c:v>312.8068</c:v>
                </c:pt>
                <c:pt idx="5">
                  <c:v>568.6168</c:v>
                </c:pt>
                <c:pt idx="6">
                  <c:v>739.1568</c:v>
                </c:pt>
                <c:pt idx="7">
                  <c:v>994.9668</c:v>
                </c:pt>
                <c:pt idx="8">
                  <c:v>1080.2368</c:v>
                </c:pt>
                <c:pt idx="9">
                  <c:v>1250.7768</c:v>
                </c:pt>
                <c:pt idx="10">
                  <c:v>1421.3168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"Выручка.общ, тыс. руб."</c:f>
              <c:strCache>
                <c:ptCount val="1"/>
                <c:pt idx="0">
                  <c:v>Выручка.общ, тыс. руб.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График!$A$3:$A$13</c:f>
              <c:numCache>
                <c:formatCode>0</c:formatCode>
                <c:ptCount val="11"/>
                <c:pt idx="0">
                  <c:v>1000</c:v>
                </c:pt>
                <c:pt idx="1">
                  <c:v>1100</c:v>
                </c:pt>
                <c:pt idx="2">
                  <c:v>1200</c:v>
                </c:pt>
                <c:pt idx="3">
                  <c:v>1386.2244517756</c:v>
                </c:pt>
                <c:pt idx="4">
                  <c:v>1500</c:v>
                </c:pt>
                <c:pt idx="5">
                  <c:v>3000</c:v>
                </c:pt>
                <c:pt idx="6">
                  <c:v>4000</c:v>
                </c:pt>
                <c:pt idx="7" c:formatCode="General">
                  <c:v>5500</c:v>
                </c:pt>
                <c:pt idx="8">
                  <c:v>6000</c:v>
                </c:pt>
                <c:pt idx="9">
                  <c:v>7000</c:v>
                </c:pt>
                <c:pt idx="10" c:formatCode="General">
                  <c:v>8000</c:v>
                </c:pt>
              </c:numCache>
            </c:numRef>
          </c:xVal>
          <c:yVal>
            <c:numRef>
              <c:f>График!$E$3:$E$13</c:f>
              <c:numCache>
                <c:formatCode>0.00</c:formatCode>
                <c:ptCount val="11"/>
                <c:pt idx="0">
                  <c:v>211.656573818182</c:v>
                </c:pt>
                <c:pt idx="1">
                  <c:v>232.8222312</c:v>
                </c:pt>
                <c:pt idx="2">
                  <c:v>253.987888581818</c:v>
                </c:pt>
                <c:pt idx="3">
                  <c:v>293.40351800581</c:v>
                </c:pt>
                <c:pt idx="4">
                  <c:v>317.484860727273</c:v>
                </c:pt>
                <c:pt idx="5">
                  <c:v>634.969721454545</c:v>
                </c:pt>
                <c:pt idx="6">
                  <c:v>846.626295272727</c:v>
                </c:pt>
                <c:pt idx="7">
                  <c:v>1164.111156</c:v>
                </c:pt>
                <c:pt idx="8">
                  <c:v>1269.93944290909</c:v>
                </c:pt>
                <c:pt idx="9">
                  <c:v>1481.59601672727</c:v>
                </c:pt>
                <c:pt idx="10">
                  <c:v>1693.25259054545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72768"/>
        <c:axId val="48650112"/>
      </c:scatterChart>
      <c:valAx>
        <c:axId val="48672768"/>
        <c:scaling>
          <c:orientation val="minMax"/>
          <c:max val="8200"/>
          <c:min val="900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crossBetween val="midCat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6b779f9-ea1c-4e50-b31b-70c79826611d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val>
            <c:numRef>
              <c:f>График!$A$3:$A$13</c:f>
              <c:numCache>
                <c:formatCode>0</c:formatCode>
                <c:ptCount val="11"/>
                <c:pt idx="0">
                  <c:v>1000</c:v>
                </c:pt>
                <c:pt idx="1">
                  <c:v>1100</c:v>
                </c:pt>
                <c:pt idx="2">
                  <c:v>1200</c:v>
                </c:pt>
                <c:pt idx="3">
                  <c:v>1386.2244517756</c:v>
                </c:pt>
                <c:pt idx="4">
                  <c:v>1500</c:v>
                </c:pt>
                <c:pt idx="5">
                  <c:v>3000</c:v>
                </c:pt>
                <c:pt idx="6">
                  <c:v>4000</c:v>
                </c:pt>
                <c:pt idx="7" c:formatCode="General">
                  <c:v>5500</c:v>
                </c:pt>
                <c:pt idx="8">
                  <c:v>6000</c:v>
                </c:pt>
                <c:pt idx="9">
                  <c:v>7000</c:v>
                </c:pt>
                <c:pt idx="10" c:formatCode="General">
                  <c:v>8000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val>
            <c:numRef>
              <c:f>График!$D$3:$D$13</c:f>
              <c:numCache>
                <c:formatCode>0.00</c:formatCode>
                <c:ptCount val="11"/>
                <c:pt idx="0">
                  <c:v>227.5368</c:v>
                </c:pt>
                <c:pt idx="1">
                  <c:v>244.5908</c:v>
                </c:pt>
                <c:pt idx="2">
                  <c:v>261.6448</c:v>
                </c:pt>
                <c:pt idx="3">
                  <c:v>293.40351800581</c:v>
                </c:pt>
                <c:pt idx="4">
                  <c:v>312.8068</c:v>
                </c:pt>
                <c:pt idx="5">
                  <c:v>568.6168</c:v>
                </c:pt>
                <c:pt idx="6">
                  <c:v>739.1568</c:v>
                </c:pt>
                <c:pt idx="7">
                  <c:v>994.9668</c:v>
                </c:pt>
                <c:pt idx="8">
                  <c:v>1080.2368</c:v>
                </c:pt>
                <c:pt idx="9">
                  <c:v>1250.7768</c:v>
                </c:pt>
                <c:pt idx="10">
                  <c:v>1421.3168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val>
            <c:numRef>
              <c:f>График!$E$3:$E$13</c:f>
              <c:numCache>
                <c:formatCode>0.00</c:formatCode>
                <c:ptCount val="11"/>
                <c:pt idx="0">
                  <c:v>211.656573818182</c:v>
                </c:pt>
                <c:pt idx="1">
                  <c:v>232.8222312</c:v>
                </c:pt>
                <c:pt idx="2">
                  <c:v>253.987888581818</c:v>
                </c:pt>
                <c:pt idx="3">
                  <c:v>293.40351800581</c:v>
                </c:pt>
                <c:pt idx="4">
                  <c:v>317.484860727273</c:v>
                </c:pt>
                <c:pt idx="5">
                  <c:v>634.969721454545</c:v>
                </c:pt>
                <c:pt idx="6">
                  <c:v>846.626295272727</c:v>
                </c:pt>
                <c:pt idx="7">
                  <c:v>1164.111156</c:v>
                </c:pt>
                <c:pt idx="8">
                  <c:v>1269.93944290909</c:v>
                </c:pt>
                <c:pt idx="9">
                  <c:v>1481.59601672727</c:v>
                </c:pt>
                <c:pt idx="10">
                  <c:v>1693.25259054545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938528"/>
        <c:axId val="788317419"/>
      </c:lineChart>
      <c:catAx>
        <c:axId val="3049385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8317419"/>
        <c:crosses val="autoZero"/>
        <c:auto val="1"/>
        <c:lblAlgn val="ctr"/>
        <c:lblOffset val="100"/>
        <c:noMultiLvlLbl val="0"/>
      </c:catAx>
      <c:valAx>
        <c:axId val="7883174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493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40</xdr:row>
      <xdr:rowOff>21946</xdr:rowOff>
    </xdr:from>
    <xdr:to>
      <xdr:col>11</xdr:col>
      <xdr:colOff>73152</xdr:colOff>
      <xdr:row>45</xdr:row>
      <xdr:rowOff>548640</xdr:rowOff>
    </xdr:to>
    <xdr:pic>
      <xdr:nvPicPr>
        <xdr:cNvPr id="2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63970" y="9327515"/>
          <a:ext cx="5981700" cy="308038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0</xdr:colOff>
      <xdr:row>1</xdr:row>
      <xdr:rowOff>0</xdr:rowOff>
    </xdr:from>
    <xdr:to>
      <xdr:col>9</xdr:col>
      <xdr:colOff>0</xdr:colOff>
      <xdr:row>10</xdr:row>
      <xdr:rowOff>0</xdr:rowOff>
    </xdr:to>
    <xdr:graphicFrame>
      <xdr:nvGraphicFramePr>
        <xdr:cNvPr id="2" name="Chart 1"/>
        <xdr:cNvGraphicFramePr/>
      </xdr:nvGraphicFramePr>
      <xdr:xfrm>
        <a:off x="10850880" y="213360"/>
        <a:ext cx="0" cy="27406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8255</xdr:colOff>
      <xdr:row>1</xdr:row>
      <xdr:rowOff>5080</xdr:rowOff>
    </xdr:from>
    <xdr:to>
      <xdr:col>17</xdr:col>
      <xdr:colOff>312420</xdr:colOff>
      <xdr:row>18</xdr:row>
      <xdr:rowOff>193675</xdr:rowOff>
    </xdr:to>
    <xdr:graphicFrame>
      <xdr:nvGraphicFramePr>
        <xdr:cNvPr id="5" name="Chart 4"/>
        <xdr:cNvGraphicFramePr/>
      </xdr:nvGraphicFramePr>
      <xdr:xfrm>
        <a:off x="10859135" y="218440"/>
        <a:ext cx="6156325" cy="46361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Стандартная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8"/>
  <sheetViews>
    <sheetView tabSelected="1" zoomScale="82" zoomScaleNormal="82" topLeftCell="A7" workbookViewId="0">
      <selection activeCell="J24" sqref="J24"/>
    </sheetView>
  </sheetViews>
  <sheetFormatPr defaultColWidth="9" defaultRowHeight="16.8"/>
  <cols>
    <col min="1" max="1" width="60.6015625" customWidth="1"/>
    <col min="2" max="2" width="8.8984375" customWidth="1"/>
    <col min="3" max="3" width="8.796875" customWidth="1"/>
    <col min="4" max="4" width="8.3984375" customWidth="1"/>
    <col min="5" max="5" width="9.6015625" customWidth="1"/>
    <col min="6" max="6" width="9.1015625" customWidth="1"/>
    <col min="7" max="7" width="9.703125" customWidth="1"/>
    <col min="8" max="9" width="8.296875" customWidth="1"/>
    <col min="10" max="10" width="9.296875" customWidth="1"/>
    <col min="11" max="11" width="10" customWidth="1"/>
    <col min="257" max="257" width="57.203125" customWidth="1"/>
    <col min="258" max="258" width="8.8984375" customWidth="1"/>
    <col min="259" max="259" width="8.796875" customWidth="1"/>
    <col min="260" max="260" width="8.3984375" customWidth="1"/>
    <col min="261" max="261" width="9.6015625" customWidth="1"/>
    <col min="262" max="262" width="9.1015625" customWidth="1"/>
    <col min="263" max="263" width="9.703125" customWidth="1"/>
    <col min="264" max="265" width="8.296875" customWidth="1"/>
    <col min="266" max="266" width="9.296875" customWidth="1"/>
    <col min="267" max="267" width="10" customWidth="1"/>
    <col min="513" max="513" width="57.203125" customWidth="1"/>
    <col min="514" max="514" width="8.8984375" customWidth="1"/>
    <col min="515" max="515" width="8.796875" customWidth="1"/>
    <col min="516" max="516" width="8.3984375" customWidth="1"/>
    <col min="517" max="517" width="9.6015625" customWidth="1"/>
    <col min="518" max="518" width="9.1015625" customWidth="1"/>
    <col min="519" max="519" width="9.703125" customWidth="1"/>
    <col min="520" max="521" width="8.296875" customWidth="1"/>
    <col min="522" max="522" width="9.296875" customWidth="1"/>
    <col min="523" max="523" width="10" customWidth="1"/>
    <col min="769" max="769" width="57.203125" customWidth="1"/>
    <col min="770" max="770" width="8.8984375" customWidth="1"/>
    <col min="771" max="771" width="8.796875" customWidth="1"/>
    <col min="772" max="772" width="8.3984375" customWidth="1"/>
    <col min="773" max="773" width="9.6015625" customWidth="1"/>
    <col min="774" max="774" width="9.1015625" customWidth="1"/>
    <col min="775" max="775" width="9.703125" customWidth="1"/>
    <col min="776" max="777" width="8.296875" customWidth="1"/>
    <col min="778" max="778" width="9.296875" customWidth="1"/>
    <col min="779" max="779" width="10" customWidth="1"/>
    <col min="1025" max="1025" width="57.203125" customWidth="1"/>
    <col min="1026" max="1026" width="8.8984375" customWidth="1"/>
    <col min="1027" max="1027" width="8.796875" customWidth="1"/>
    <col min="1028" max="1028" width="8.3984375" customWidth="1"/>
    <col min="1029" max="1029" width="9.6015625" customWidth="1"/>
    <col min="1030" max="1030" width="9.1015625" customWidth="1"/>
    <col min="1031" max="1031" width="9.703125" customWidth="1"/>
    <col min="1032" max="1033" width="8.296875" customWidth="1"/>
    <col min="1034" max="1034" width="9.296875" customWidth="1"/>
    <col min="1035" max="1035" width="10" customWidth="1"/>
    <col min="1281" max="1281" width="57.203125" customWidth="1"/>
    <col min="1282" max="1282" width="8.8984375" customWidth="1"/>
    <col min="1283" max="1283" width="8.796875" customWidth="1"/>
    <col min="1284" max="1284" width="8.3984375" customWidth="1"/>
    <col min="1285" max="1285" width="9.6015625" customWidth="1"/>
    <col min="1286" max="1286" width="9.1015625" customWidth="1"/>
    <col min="1287" max="1287" width="9.703125" customWidth="1"/>
    <col min="1288" max="1289" width="8.296875" customWidth="1"/>
    <col min="1290" max="1290" width="9.296875" customWidth="1"/>
    <col min="1291" max="1291" width="10" customWidth="1"/>
    <col min="1537" max="1537" width="57.203125" customWidth="1"/>
    <col min="1538" max="1538" width="8.8984375" customWidth="1"/>
    <col min="1539" max="1539" width="8.796875" customWidth="1"/>
    <col min="1540" max="1540" width="8.3984375" customWidth="1"/>
    <col min="1541" max="1541" width="9.6015625" customWidth="1"/>
    <col min="1542" max="1542" width="9.1015625" customWidth="1"/>
    <col min="1543" max="1543" width="9.703125" customWidth="1"/>
    <col min="1544" max="1545" width="8.296875" customWidth="1"/>
    <col min="1546" max="1546" width="9.296875" customWidth="1"/>
    <col min="1547" max="1547" width="10" customWidth="1"/>
    <col min="1793" max="1793" width="57.203125" customWidth="1"/>
    <col min="1794" max="1794" width="8.8984375" customWidth="1"/>
    <col min="1795" max="1795" width="8.796875" customWidth="1"/>
    <col min="1796" max="1796" width="8.3984375" customWidth="1"/>
    <col min="1797" max="1797" width="9.6015625" customWidth="1"/>
    <col min="1798" max="1798" width="9.1015625" customWidth="1"/>
    <col min="1799" max="1799" width="9.703125" customWidth="1"/>
    <col min="1800" max="1801" width="8.296875" customWidth="1"/>
    <col min="1802" max="1802" width="9.296875" customWidth="1"/>
    <col min="1803" max="1803" width="10" customWidth="1"/>
    <col min="2049" max="2049" width="57.203125" customWidth="1"/>
    <col min="2050" max="2050" width="8.8984375" customWidth="1"/>
    <col min="2051" max="2051" width="8.796875" customWidth="1"/>
    <col min="2052" max="2052" width="8.3984375" customWidth="1"/>
    <col min="2053" max="2053" width="9.6015625" customWidth="1"/>
    <col min="2054" max="2054" width="9.1015625" customWidth="1"/>
    <col min="2055" max="2055" width="9.703125" customWidth="1"/>
    <col min="2056" max="2057" width="8.296875" customWidth="1"/>
    <col min="2058" max="2058" width="9.296875" customWidth="1"/>
    <col min="2059" max="2059" width="10" customWidth="1"/>
    <col min="2305" max="2305" width="57.203125" customWidth="1"/>
    <col min="2306" max="2306" width="8.8984375" customWidth="1"/>
    <col min="2307" max="2307" width="8.796875" customWidth="1"/>
    <col min="2308" max="2308" width="8.3984375" customWidth="1"/>
    <col min="2309" max="2309" width="9.6015625" customWidth="1"/>
    <col min="2310" max="2310" width="9.1015625" customWidth="1"/>
    <col min="2311" max="2311" width="9.703125" customWidth="1"/>
    <col min="2312" max="2313" width="8.296875" customWidth="1"/>
    <col min="2314" max="2314" width="9.296875" customWidth="1"/>
    <col min="2315" max="2315" width="10" customWidth="1"/>
    <col min="2561" max="2561" width="57.203125" customWidth="1"/>
    <col min="2562" max="2562" width="8.8984375" customWidth="1"/>
    <col min="2563" max="2563" width="8.796875" customWidth="1"/>
    <col min="2564" max="2564" width="8.3984375" customWidth="1"/>
    <col min="2565" max="2565" width="9.6015625" customWidth="1"/>
    <col min="2566" max="2566" width="9.1015625" customWidth="1"/>
    <col min="2567" max="2567" width="9.703125" customWidth="1"/>
    <col min="2568" max="2569" width="8.296875" customWidth="1"/>
    <col min="2570" max="2570" width="9.296875" customWidth="1"/>
    <col min="2571" max="2571" width="10" customWidth="1"/>
    <col min="2817" max="2817" width="57.203125" customWidth="1"/>
    <col min="2818" max="2818" width="8.8984375" customWidth="1"/>
    <col min="2819" max="2819" width="8.796875" customWidth="1"/>
    <col min="2820" max="2820" width="8.3984375" customWidth="1"/>
    <col min="2821" max="2821" width="9.6015625" customWidth="1"/>
    <col min="2822" max="2822" width="9.1015625" customWidth="1"/>
    <col min="2823" max="2823" width="9.703125" customWidth="1"/>
    <col min="2824" max="2825" width="8.296875" customWidth="1"/>
    <col min="2826" max="2826" width="9.296875" customWidth="1"/>
    <col min="2827" max="2827" width="10" customWidth="1"/>
    <col min="3073" max="3073" width="57.203125" customWidth="1"/>
    <col min="3074" max="3074" width="8.8984375" customWidth="1"/>
    <col min="3075" max="3075" width="8.796875" customWidth="1"/>
    <col min="3076" max="3076" width="8.3984375" customWidth="1"/>
    <col min="3077" max="3077" width="9.6015625" customWidth="1"/>
    <col min="3078" max="3078" width="9.1015625" customWidth="1"/>
    <col min="3079" max="3079" width="9.703125" customWidth="1"/>
    <col min="3080" max="3081" width="8.296875" customWidth="1"/>
    <col min="3082" max="3082" width="9.296875" customWidth="1"/>
    <col min="3083" max="3083" width="10" customWidth="1"/>
    <col min="3329" max="3329" width="57.203125" customWidth="1"/>
    <col min="3330" max="3330" width="8.8984375" customWidth="1"/>
    <col min="3331" max="3331" width="8.796875" customWidth="1"/>
    <col min="3332" max="3332" width="8.3984375" customWidth="1"/>
    <col min="3333" max="3333" width="9.6015625" customWidth="1"/>
    <col min="3334" max="3334" width="9.1015625" customWidth="1"/>
    <col min="3335" max="3335" width="9.703125" customWidth="1"/>
    <col min="3336" max="3337" width="8.296875" customWidth="1"/>
    <col min="3338" max="3338" width="9.296875" customWidth="1"/>
    <col min="3339" max="3339" width="10" customWidth="1"/>
    <col min="3585" max="3585" width="57.203125" customWidth="1"/>
    <col min="3586" max="3586" width="8.8984375" customWidth="1"/>
    <col min="3587" max="3587" width="8.796875" customWidth="1"/>
    <col min="3588" max="3588" width="8.3984375" customWidth="1"/>
    <col min="3589" max="3589" width="9.6015625" customWidth="1"/>
    <col min="3590" max="3590" width="9.1015625" customWidth="1"/>
    <col min="3591" max="3591" width="9.703125" customWidth="1"/>
    <col min="3592" max="3593" width="8.296875" customWidth="1"/>
    <col min="3594" max="3594" width="9.296875" customWidth="1"/>
    <col min="3595" max="3595" width="10" customWidth="1"/>
    <col min="3841" max="3841" width="57.203125" customWidth="1"/>
    <col min="3842" max="3842" width="8.8984375" customWidth="1"/>
    <col min="3843" max="3843" width="8.796875" customWidth="1"/>
    <col min="3844" max="3844" width="8.3984375" customWidth="1"/>
    <col min="3845" max="3845" width="9.6015625" customWidth="1"/>
    <col min="3846" max="3846" width="9.1015625" customWidth="1"/>
    <col min="3847" max="3847" width="9.703125" customWidth="1"/>
    <col min="3848" max="3849" width="8.296875" customWidth="1"/>
    <col min="3850" max="3850" width="9.296875" customWidth="1"/>
    <col min="3851" max="3851" width="10" customWidth="1"/>
    <col min="4097" max="4097" width="57.203125" customWidth="1"/>
    <col min="4098" max="4098" width="8.8984375" customWidth="1"/>
    <col min="4099" max="4099" width="8.796875" customWidth="1"/>
    <col min="4100" max="4100" width="8.3984375" customWidth="1"/>
    <col min="4101" max="4101" width="9.6015625" customWidth="1"/>
    <col min="4102" max="4102" width="9.1015625" customWidth="1"/>
    <col min="4103" max="4103" width="9.703125" customWidth="1"/>
    <col min="4104" max="4105" width="8.296875" customWidth="1"/>
    <col min="4106" max="4106" width="9.296875" customWidth="1"/>
    <col min="4107" max="4107" width="10" customWidth="1"/>
    <col min="4353" max="4353" width="57.203125" customWidth="1"/>
    <col min="4354" max="4354" width="8.8984375" customWidth="1"/>
    <col min="4355" max="4355" width="8.796875" customWidth="1"/>
    <col min="4356" max="4356" width="8.3984375" customWidth="1"/>
    <col min="4357" max="4357" width="9.6015625" customWidth="1"/>
    <col min="4358" max="4358" width="9.1015625" customWidth="1"/>
    <col min="4359" max="4359" width="9.703125" customWidth="1"/>
    <col min="4360" max="4361" width="8.296875" customWidth="1"/>
    <col min="4362" max="4362" width="9.296875" customWidth="1"/>
    <col min="4363" max="4363" width="10" customWidth="1"/>
    <col min="4609" max="4609" width="57.203125" customWidth="1"/>
    <col min="4610" max="4610" width="8.8984375" customWidth="1"/>
    <col min="4611" max="4611" width="8.796875" customWidth="1"/>
    <col min="4612" max="4612" width="8.3984375" customWidth="1"/>
    <col min="4613" max="4613" width="9.6015625" customWidth="1"/>
    <col min="4614" max="4614" width="9.1015625" customWidth="1"/>
    <col min="4615" max="4615" width="9.703125" customWidth="1"/>
    <col min="4616" max="4617" width="8.296875" customWidth="1"/>
    <col min="4618" max="4618" width="9.296875" customWidth="1"/>
    <col min="4619" max="4619" width="10" customWidth="1"/>
    <col min="4865" max="4865" width="57.203125" customWidth="1"/>
    <col min="4866" max="4866" width="8.8984375" customWidth="1"/>
    <col min="4867" max="4867" width="8.796875" customWidth="1"/>
    <col min="4868" max="4868" width="8.3984375" customWidth="1"/>
    <col min="4869" max="4869" width="9.6015625" customWidth="1"/>
    <col min="4870" max="4870" width="9.1015625" customWidth="1"/>
    <col min="4871" max="4871" width="9.703125" customWidth="1"/>
    <col min="4872" max="4873" width="8.296875" customWidth="1"/>
    <col min="4874" max="4874" width="9.296875" customWidth="1"/>
    <col min="4875" max="4875" width="10" customWidth="1"/>
    <col min="5121" max="5121" width="57.203125" customWidth="1"/>
    <col min="5122" max="5122" width="8.8984375" customWidth="1"/>
    <col min="5123" max="5123" width="8.796875" customWidth="1"/>
    <col min="5124" max="5124" width="8.3984375" customWidth="1"/>
    <col min="5125" max="5125" width="9.6015625" customWidth="1"/>
    <col min="5126" max="5126" width="9.1015625" customWidth="1"/>
    <col min="5127" max="5127" width="9.703125" customWidth="1"/>
    <col min="5128" max="5129" width="8.296875" customWidth="1"/>
    <col min="5130" max="5130" width="9.296875" customWidth="1"/>
    <col min="5131" max="5131" width="10" customWidth="1"/>
    <col min="5377" max="5377" width="57.203125" customWidth="1"/>
    <col min="5378" max="5378" width="8.8984375" customWidth="1"/>
    <col min="5379" max="5379" width="8.796875" customWidth="1"/>
    <col min="5380" max="5380" width="8.3984375" customWidth="1"/>
    <col min="5381" max="5381" width="9.6015625" customWidth="1"/>
    <col min="5382" max="5382" width="9.1015625" customWidth="1"/>
    <col min="5383" max="5383" width="9.703125" customWidth="1"/>
    <col min="5384" max="5385" width="8.296875" customWidth="1"/>
    <col min="5386" max="5386" width="9.296875" customWidth="1"/>
    <col min="5387" max="5387" width="10" customWidth="1"/>
    <col min="5633" max="5633" width="57.203125" customWidth="1"/>
    <col min="5634" max="5634" width="8.8984375" customWidth="1"/>
    <col min="5635" max="5635" width="8.796875" customWidth="1"/>
    <col min="5636" max="5636" width="8.3984375" customWidth="1"/>
    <col min="5637" max="5637" width="9.6015625" customWidth="1"/>
    <col min="5638" max="5638" width="9.1015625" customWidth="1"/>
    <col min="5639" max="5639" width="9.703125" customWidth="1"/>
    <col min="5640" max="5641" width="8.296875" customWidth="1"/>
    <col min="5642" max="5642" width="9.296875" customWidth="1"/>
    <col min="5643" max="5643" width="10" customWidth="1"/>
    <col min="5889" max="5889" width="57.203125" customWidth="1"/>
    <col min="5890" max="5890" width="8.8984375" customWidth="1"/>
    <col min="5891" max="5891" width="8.796875" customWidth="1"/>
    <col min="5892" max="5892" width="8.3984375" customWidth="1"/>
    <col min="5893" max="5893" width="9.6015625" customWidth="1"/>
    <col min="5894" max="5894" width="9.1015625" customWidth="1"/>
    <col min="5895" max="5895" width="9.703125" customWidth="1"/>
    <col min="5896" max="5897" width="8.296875" customWidth="1"/>
    <col min="5898" max="5898" width="9.296875" customWidth="1"/>
    <col min="5899" max="5899" width="10" customWidth="1"/>
    <col min="6145" max="6145" width="57.203125" customWidth="1"/>
    <col min="6146" max="6146" width="8.8984375" customWidth="1"/>
    <col min="6147" max="6147" width="8.796875" customWidth="1"/>
    <col min="6148" max="6148" width="8.3984375" customWidth="1"/>
    <col min="6149" max="6149" width="9.6015625" customWidth="1"/>
    <col min="6150" max="6150" width="9.1015625" customWidth="1"/>
    <col min="6151" max="6151" width="9.703125" customWidth="1"/>
    <col min="6152" max="6153" width="8.296875" customWidth="1"/>
    <col min="6154" max="6154" width="9.296875" customWidth="1"/>
    <col min="6155" max="6155" width="10" customWidth="1"/>
    <col min="6401" max="6401" width="57.203125" customWidth="1"/>
    <col min="6402" max="6402" width="8.8984375" customWidth="1"/>
    <col min="6403" max="6403" width="8.796875" customWidth="1"/>
    <col min="6404" max="6404" width="8.3984375" customWidth="1"/>
    <col min="6405" max="6405" width="9.6015625" customWidth="1"/>
    <col min="6406" max="6406" width="9.1015625" customWidth="1"/>
    <col min="6407" max="6407" width="9.703125" customWidth="1"/>
    <col min="6408" max="6409" width="8.296875" customWidth="1"/>
    <col min="6410" max="6410" width="9.296875" customWidth="1"/>
    <col min="6411" max="6411" width="10" customWidth="1"/>
    <col min="6657" max="6657" width="57.203125" customWidth="1"/>
    <col min="6658" max="6658" width="8.8984375" customWidth="1"/>
    <col min="6659" max="6659" width="8.796875" customWidth="1"/>
    <col min="6660" max="6660" width="8.3984375" customWidth="1"/>
    <col min="6661" max="6661" width="9.6015625" customWidth="1"/>
    <col min="6662" max="6662" width="9.1015625" customWidth="1"/>
    <col min="6663" max="6663" width="9.703125" customWidth="1"/>
    <col min="6664" max="6665" width="8.296875" customWidth="1"/>
    <col min="6666" max="6666" width="9.296875" customWidth="1"/>
    <col min="6667" max="6667" width="10" customWidth="1"/>
    <col min="6913" max="6913" width="57.203125" customWidth="1"/>
    <col min="6914" max="6914" width="8.8984375" customWidth="1"/>
    <col min="6915" max="6915" width="8.796875" customWidth="1"/>
    <col min="6916" max="6916" width="8.3984375" customWidth="1"/>
    <col min="6917" max="6917" width="9.6015625" customWidth="1"/>
    <col min="6918" max="6918" width="9.1015625" customWidth="1"/>
    <col min="6919" max="6919" width="9.703125" customWidth="1"/>
    <col min="6920" max="6921" width="8.296875" customWidth="1"/>
    <col min="6922" max="6922" width="9.296875" customWidth="1"/>
    <col min="6923" max="6923" width="10" customWidth="1"/>
    <col min="7169" max="7169" width="57.203125" customWidth="1"/>
    <col min="7170" max="7170" width="8.8984375" customWidth="1"/>
    <col min="7171" max="7171" width="8.796875" customWidth="1"/>
    <col min="7172" max="7172" width="8.3984375" customWidth="1"/>
    <col min="7173" max="7173" width="9.6015625" customWidth="1"/>
    <col min="7174" max="7174" width="9.1015625" customWidth="1"/>
    <col min="7175" max="7175" width="9.703125" customWidth="1"/>
    <col min="7176" max="7177" width="8.296875" customWidth="1"/>
    <col min="7178" max="7178" width="9.296875" customWidth="1"/>
    <col min="7179" max="7179" width="10" customWidth="1"/>
    <col min="7425" max="7425" width="57.203125" customWidth="1"/>
    <col min="7426" max="7426" width="8.8984375" customWidth="1"/>
    <col min="7427" max="7427" width="8.796875" customWidth="1"/>
    <col min="7428" max="7428" width="8.3984375" customWidth="1"/>
    <col min="7429" max="7429" width="9.6015625" customWidth="1"/>
    <col min="7430" max="7430" width="9.1015625" customWidth="1"/>
    <col min="7431" max="7431" width="9.703125" customWidth="1"/>
    <col min="7432" max="7433" width="8.296875" customWidth="1"/>
    <col min="7434" max="7434" width="9.296875" customWidth="1"/>
    <col min="7435" max="7435" width="10" customWidth="1"/>
    <col min="7681" max="7681" width="57.203125" customWidth="1"/>
    <col min="7682" max="7682" width="8.8984375" customWidth="1"/>
    <col min="7683" max="7683" width="8.796875" customWidth="1"/>
    <col min="7684" max="7684" width="8.3984375" customWidth="1"/>
    <col min="7685" max="7685" width="9.6015625" customWidth="1"/>
    <col min="7686" max="7686" width="9.1015625" customWidth="1"/>
    <col min="7687" max="7687" width="9.703125" customWidth="1"/>
    <col min="7688" max="7689" width="8.296875" customWidth="1"/>
    <col min="7690" max="7690" width="9.296875" customWidth="1"/>
    <col min="7691" max="7691" width="10" customWidth="1"/>
    <col min="7937" max="7937" width="57.203125" customWidth="1"/>
    <col min="7938" max="7938" width="8.8984375" customWidth="1"/>
    <col min="7939" max="7939" width="8.796875" customWidth="1"/>
    <col min="7940" max="7940" width="8.3984375" customWidth="1"/>
    <col min="7941" max="7941" width="9.6015625" customWidth="1"/>
    <col min="7942" max="7942" width="9.1015625" customWidth="1"/>
    <col min="7943" max="7943" width="9.703125" customWidth="1"/>
    <col min="7944" max="7945" width="8.296875" customWidth="1"/>
    <col min="7946" max="7946" width="9.296875" customWidth="1"/>
    <col min="7947" max="7947" width="10" customWidth="1"/>
    <col min="8193" max="8193" width="57.203125" customWidth="1"/>
    <col min="8194" max="8194" width="8.8984375" customWidth="1"/>
    <col min="8195" max="8195" width="8.796875" customWidth="1"/>
    <col min="8196" max="8196" width="8.3984375" customWidth="1"/>
    <col min="8197" max="8197" width="9.6015625" customWidth="1"/>
    <col min="8198" max="8198" width="9.1015625" customWidth="1"/>
    <col min="8199" max="8199" width="9.703125" customWidth="1"/>
    <col min="8200" max="8201" width="8.296875" customWidth="1"/>
    <col min="8202" max="8202" width="9.296875" customWidth="1"/>
    <col min="8203" max="8203" width="10" customWidth="1"/>
    <col min="8449" max="8449" width="57.203125" customWidth="1"/>
    <col min="8450" max="8450" width="8.8984375" customWidth="1"/>
    <col min="8451" max="8451" width="8.796875" customWidth="1"/>
    <col min="8452" max="8452" width="8.3984375" customWidth="1"/>
    <col min="8453" max="8453" width="9.6015625" customWidth="1"/>
    <col min="8454" max="8454" width="9.1015625" customWidth="1"/>
    <col min="8455" max="8455" width="9.703125" customWidth="1"/>
    <col min="8456" max="8457" width="8.296875" customWidth="1"/>
    <col min="8458" max="8458" width="9.296875" customWidth="1"/>
    <col min="8459" max="8459" width="10" customWidth="1"/>
    <col min="8705" max="8705" width="57.203125" customWidth="1"/>
    <col min="8706" max="8706" width="8.8984375" customWidth="1"/>
    <col min="8707" max="8707" width="8.796875" customWidth="1"/>
    <col min="8708" max="8708" width="8.3984375" customWidth="1"/>
    <col min="8709" max="8709" width="9.6015625" customWidth="1"/>
    <col min="8710" max="8710" width="9.1015625" customWidth="1"/>
    <col min="8711" max="8711" width="9.703125" customWidth="1"/>
    <col min="8712" max="8713" width="8.296875" customWidth="1"/>
    <col min="8714" max="8714" width="9.296875" customWidth="1"/>
    <col min="8715" max="8715" width="10" customWidth="1"/>
    <col min="8961" max="8961" width="57.203125" customWidth="1"/>
    <col min="8962" max="8962" width="8.8984375" customWidth="1"/>
    <col min="8963" max="8963" width="8.796875" customWidth="1"/>
    <col min="8964" max="8964" width="8.3984375" customWidth="1"/>
    <col min="8965" max="8965" width="9.6015625" customWidth="1"/>
    <col min="8966" max="8966" width="9.1015625" customWidth="1"/>
    <col min="8967" max="8967" width="9.703125" customWidth="1"/>
    <col min="8968" max="8969" width="8.296875" customWidth="1"/>
    <col min="8970" max="8970" width="9.296875" customWidth="1"/>
    <col min="8971" max="8971" width="10" customWidth="1"/>
    <col min="9217" max="9217" width="57.203125" customWidth="1"/>
    <col min="9218" max="9218" width="8.8984375" customWidth="1"/>
    <col min="9219" max="9219" width="8.796875" customWidth="1"/>
    <col min="9220" max="9220" width="8.3984375" customWidth="1"/>
    <col min="9221" max="9221" width="9.6015625" customWidth="1"/>
    <col min="9222" max="9222" width="9.1015625" customWidth="1"/>
    <col min="9223" max="9223" width="9.703125" customWidth="1"/>
    <col min="9224" max="9225" width="8.296875" customWidth="1"/>
    <col min="9226" max="9226" width="9.296875" customWidth="1"/>
    <col min="9227" max="9227" width="10" customWidth="1"/>
    <col min="9473" max="9473" width="57.203125" customWidth="1"/>
    <col min="9474" max="9474" width="8.8984375" customWidth="1"/>
    <col min="9475" max="9475" width="8.796875" customWidth="1"/>
    <col min="9476" max="9476" width="8.3984375" customWidth="1"/>
    <col min="9477" max="9477" width="9.6015625" customWidth="1"/>
    <col min="9478" max="9478" width="9.1015625" customWidth="1"/>
    <col min="9479" max="9479" width="9.703125" customWidth="1"/>
    <col min="9480" max="9481" width="8.296875" customWidth="1"/>
    <col min="9482" max="9482" width="9.296875" customWidth="1"/>
    <col min="9483" max="9483" width="10" customWidth="1"/>
    <col min="9729" max="9729" width="57.203125" customWidth="1"/>
    <col min="9730" max="9730" width="8.8984375" customWidth="1"/>
    <col min="9731" max="9731" width="8.796875" customWidth="1"/>
    <col min="9732" max="9732" width="8.3984375" customWidth="1"/>
    <col min="9733" max="9733" width="9.6015625" customWidth="1"/>
    <col min="9734" max="9734" width="9.1015625" customWidth="1"/>
    <col min="9735" max="9735" width="9.703125" customWidth="1"/>
    <col min="9736" max="9737" width="8.296875" customWidth="1"/>
    <col min="9738" max="9738" width="9.296875" customWidth="1"/>
    <col min="9739" max="9739" width="10" customWidth="1"/>
    <col min="9985" max="9985" width="57.203125" customWidth="1"/>
    <col min="9986" max="9986" width="8.8984375" customWidth="1"/>
    <col min="9987" max="9987" width="8.796875" customWidth="1"/>
    <col min="9988" max="9988" width="8.3984375" customWidth="1"/>
    <col min="9989" max="9989" width="9.6015625" customWidth="1"/>
    <col min="9990" max="9990" width="9.1015625" customWidth="1"/>
    <col min="9991" max="9991" width="9.703125" customWidth="1"/>
    <col min="9992" max="9993" width="8.296875" customWidth="1"/>
    <col min="9994" max="9994" width="9.296875" customWidth="1"/>
    <col min="9995" max="9995" width="10" customWidth="1"/>
    <col min="10241" max="10241" width="57.203125" customWidth="1"/>
    <col min="10242" max="10242" width="8.8984375" customWidth="1"/>
    <col min="10243" max="10243" width="8.796875" customWidth="1"/>
    <col min="10244" max="10244" width="8.3984375" customWidth="1"/>
    <col min="10245" max="10245" width="9.6015625" customWidth="1"/>
    <col min="10246" max="10246" width="9.1015625" customWidth="1"/>
    <col min="10247" max="10247" width="9.703125" customWidth="1"/>
    <col min="10248" max="10249" width="8.296875" customWidth="1"/>
    <col min="10250" max="10250" width="9.296875" customWidth="1"/>
    <col min="10251" max="10251" width="10" customWidth="1"/>
    <col min="10497" max="10497" width="57.203125" customWidth="1"/>
    <col min="10498" max="10498" width="8.8984375" customWidth="1"/>
    <col min="10499" max="10499" width="8.796875" customWidth="1"/>
    <col min="10500" max="10500" width="8.3984375" customWidth="1"/>
    <col min="10501" max="10501" width="9.6015625" customWidth="1"/>
    <col min="10502" max="10502" width="9.1015625" customWidth="1"/>
    <col min="10503" max="10503" width="9.703125" customWidth="1"/>
    <col min="10504" max="10505" width="8.296875" customWidth="1"/>
    <col min="10506" max="10506" width="9.296875" customWidth="1"/>
    <col min="10507" max="10507" width="10" customWidth="1"/>
    <col min="10753" max="10753" width="57.203125" customWidth="1"/>
    <col min="10754" max="10754" width="8.8984375" customWidth="1"/>
    <col min="10755" max="10755" width="8.796875" customWidth="1"/>
    <col min="10756" max="10756" width="8.3984375" customWidth="1"/>
    <col min="10757" max="10757" width="9.6015625" customWidth="1"/>
    <col min="10758" max="10758" width="9.1015625" customWidth="1"/>
    <col min="10759" max="10759" width="9.703125" customWidth="1"/>
    <col min="10760" max="10761" width="8.296875" customWidth="1"/>
    <col min="10762" max="10762" width="9.296875" customWidth="1"/>
    <col min="10763" max="10763" width="10" customWidth="1"/>
    <col min="11009" max="11009" width="57.203125" customWidth="1"/>
    <col min="11010" max="11010" width="8.8984375" customWidth="1"/>
    <col min="11011" max="11011" width="8.796875" customWidth="1"/>
    <col min="11012" max="11012" width="8.3984375" customWidth="1"/>
    <col min="11013" max="11013" width="9.6015625" customWidth="1"/>
    <col min="11014" max="11014" width="9.1015625" customWidth="1"/>
    <col min="11015" max="11015" width="9.703125" customWidth="1"/>
    <col min="11016" max="11017" width="8.296875" customWidth="1"/>
    <col min="11018" max="11018" width="9.296875" customWidth="1"/>
    <col min="11019" max="11019" width="10" customWidth="1"/>
    <col min="11265" max="11265" width="57.203125" customWidth="1"/>
    <col min="11266" max="11266" width="8.8984375" customWidth="1"/>
    <col min="11267" max="11267" width="8.796875" customWidth="1"/>
    <col min="11268" max="11268" width="8.3984375" customWidth="1"/>
    <col min="11269" max="11269" width="9.6015625" customWidth="1"/>
    <col min="11270" max="11270" width="9.1015625" customWidth="1"/>
    <col min="11271" max="11271" width="9.703125" customWidth="1"/>
    <col min="11272" max="11273" width="8.296875" customWidth="1"/>
    <col min="11274" max="11274" width="9.296875" customWidth="1"/>
    <col min="11275" max="11275" width="10" customWidth="1"/>
    <col min="11521" max="11521" width="57.203125" customWidth="1"/>
    <col min="11522" max="11522" width="8.8984375" customWidth="1"/>
    <col min="11523" max="11523" width="8.796875" customWidth="1"/>
    <col min="11524" max="11524" width="8.3984375" customWidth="1"/>
    <col min="11525" max="11525" width="9.6015625" customWidth="1"/>
    <col min="11526" max="11526" width="9.1015625" customWidth="1"/>
    <col min="11527" max="11527" width="9.703125" customWidth="1"/>
    <col min="11528" max="11529" width="8.296875" customWidth="1"/>
    <col min="11530" max="11530" width="9.296875" customWidth="1"/>
    <col min="11531" max="11531" width="10" customWidth="1"/>
    <col min="11777" max="11777" width="57.203125" customWidth="1"/>
    <col min="11778" max="11778" width="8.8984375" customWidth="1"/>
    <col min="11779" max="11779" width="8.796875" customWidth="1"/>
    <col min="11780" max="11780" width="8.3984375" customWidth="1"/>
    <col min="11781" max="11781" width="9.6015625" customWidth="1"/>
    <col min="11782" max="11782" width="9.1015625" customWidth="1"/>
    <col min="11783" max="11783" width="9.703125" customWidth="1"/>
    <col min="11784" max="11785" width="8.296875" customWidth="1"/>
    <col min="11786" max="11786" width="9.296875" customWidth="1"/>
    <col min="11787" max="11787" width="10" customWidth="1"/>
    <col min="12033" max="12033" width="57.203125" customWidth="1"/>
    <col min="12034" max="12034" width="8.8984375" customWidth="1"/>
    <col min="12035" max="12035" width="8.796875" customWidth="1"/>
    <col min="12036" max="12036" width="8.3984375" customWidth="1"/>
    <col min="12037" max="12037" width="9.6015625" customWidth="1"/>
    <col min="12038" max="12038" width="9.1015625" customWidth="1"/>
    <col min="12039" max="12039" width="9.703125" customWidth="1"/>
    <col min="12040" max="12041" width="8.296875" customWidth="1"/>
    <col min="12042" max="12042" width="9.296875" customWidth="1"/>
    <col min="12043" max="12043" width="10" customWidth="1"/>
    <col min="12289" max="12289" width="57.203125" customWidth="1"/>
    <col min="12290" max="12290" width="8.8984375" customWidth="1"/>
    <col min="12291" max="12291" width="8.796875" customWidth="1"/>
    <col min="12292" max="12292" width="8.3984375" customWidth="1"/>
    <col min="12293" max="12293" width="9.6015625" customWidth="1"/>
    <col min="12294" max="12294" width="9.1015625" customWidth="1"/>
    <col min="12295" max="12295" width="9.703125" customWidth="1"/>
    <col min="12296" max="12297" width="8.296875" customWidth="1"/>
    <col min="12298" max="12298" width="9.296875" customWidth="1"/>
    <col min="12299" max="12299" width="10" customWidth="1"/>
    <col min="12545" max="12545" width="57.203125" customWidth="1"/>
    <col min="12546" max="12546" width="8.8984375" customWidth="1"/>
    <col min="12547" max="12547" width="8.796875" customWidth="1"/>
    <col min="12548" max="12548" width="8.3984375" customWidth="1"/>
    <col min="12549" max="12549" width="9.6015625" customWidth="1"/>
    <col min="12550" max="12550" width="9.1015625" customWidth="1"/>
    <col min="12551" max="12551" width="9.703125" customWidth="1"/>
    <col min="12552" max="12553" width="8.296875" customWidth="1"/>
    <col min="12554" max="12554" width="9.296875" customWidth="1"/>
    <col min="12555" max="12555" width="10" customWidth="1"/>
    <col min="12801" max="12801" width="57.203125" customWidth="1"/>
    <col min="12802" max="12802" width="8.8984375" customWidth="1"/>
    <col min="12803" max="12803" width="8.796875" customWidth="1"/>
    <col min="12804" max="12804" width="8.3984375" customWidth="1"/>
    <col min="12805" max="12805" width="9.6015625" customWidth="1"/>
    <col min="12806" max="12806" width="9.1015625" customWidth="1"/>
    <col min="12807" max="12807" width="9.703125" customWidth="1"/>
    <col min="12808" max="12809" width="8.296875" customWidth="1"/>
    <col min="12810" max="12810" width="9.296875" customWidth="1"/>
    <col min="12811" max="12811" width="10" customWidth="1"/>
    <col min="13057" max="13057" width="57.203125" customWidth="1"/>
    <col min="13058" max="13058" width="8.8984375" customWidth="1"/>
    <col min="13059" max="13059" width="8.796875" customWidth="1"/>
    <col min="13060" max="13060" width="8.3984375" customWidth="1"/>
    <col min="13061" max="13061" width="9.6015625" customWidth="1"/>
    <col min="13062" max="13062" width="9.1015625" customWidth="1"/>
    <col min="13063" max="13063" width="9.703125" customWidth="1"/>
    <col min="13064" max="13065" width="8.296875" customWidth="1"/>
    <col min="13066" max="13066" width="9.296875" customWidth="1"/>
    <col min="13067" max="13067" width="10" customWidth="1"/>
    <col min="13313" max="13313" width="57.203125" customWidth="1"/>
    <col min="13314" max="13314" width="8.8984375" customWidth="1"/>
    <col min="13315" max="13315" width="8.796875" customWidth="1"/>
    <col min="13316" max="13316" width="8.3984375" customWidth="1"/>
    <col min="13317" max="13317" width="9.6015625" customWidth="1"/>
    <col min="13318" max="13318" width="9.1015625" customWidth="1"/>
    <col min="13319" max="13319" width="9.703125" customWidth="1"/>
    <col min="13320" max="13321" width="8.296875" customWidth="1"/>
    <col min="13322" max="13322" width="9.296875" customWidth="1"/>
    <col min="13323" max="13323" width="10" customWidth="1"/>
    <col min="13569" max="13569" width="57.203125" customWidth="1"/>
    <col min="13570" max="13570" width="8.8984375" customWidth="1"/>
    <col min="13571" max="13571" width="8.796875" customWidth="1"/>
    <col min="13572" max="13572" width="8.3984375" customWidth="1"/>
    <col min="13573" max="13573" width="9.6015625" customWidth="1"/>
    <col min="13574" max="13574" width="9.1015625" customWidth="1"/>
    <col min="13575" max="13575" width="9.703125" customWidth="1"/>
    <col min="13576" max="13577" width="8.296875" customWidth="1"/>
    <col min="13578" max="13578" width="9.296875" customWidth="1"/>
    <col min="13579" max="13579" width="10" customWidth="1"/>
    <col min="13825" max="13825" width="57.203125" customWidth="1"/>
    <col min="13826" max="13826" width="8.8984375" customWidth="1"/>
    <col min="13827" max="13827" width="8.796875" customWidth="1"/>
    <col min="13828" max="13828" width="8.3984375" customWidth="1"/>
    <col min="13829" max="13829" width="9.6015625" customWidth="1"/>
    <col min="13830" max="13830" width="9.1015625" customWidth="1"/>
    <col min="13831" max="13831" width="9.703125" customWidth="1"/>
    <col min="13832" max="13833" width="8.296875" customWidth="1"/>
    <col min="13834" max="13834" width="9.296875" customWidth="1"/>
    <col min="13835" max="13835" width="10" customWidth="1"/>
    <col min="14081" max="14081" width="57.203125" customWidth="1"/>
    <col min="14082" max="14082" width="8.8984375" customWidth="1"/>
    <col min="14083" max="14083" width="8.796875" customWidth="1"/>
    <col min="14084" max="14084" width="8.3984375" customWidth="1"/>
    <col min="14085" max="14085" width="9.6015625" customWidth="1"/>
    <col min="14086" max="14086" width="9.1015625" customWidth="1"/>
    <col min="14087" max="14087" width="9.703125" customWidth="1"/>
    <col min="14088" max="14089" width="8.296875" customWidth="1"/>
    <col min="14090" max="14090" width="9.296875" customWidth="1"/>
    <col min="14091" max="14091" width="10" customWidth="1"/>
    <col min="14337" max="14337" width="57.203125" customWidth="1"/>
    <col min="14338" max="14338" width="8.8984375" customWidth="1"/>
    <col min="14339" max="14339" width="8.796875" customWidth="1"/>
    <col min="14340" max="14340" width="8.3984375" customWidth="1"/>
    <col min="14341" max="14341" width="9.6015625" customWidth="1"/>
    <col min="14342" max="14342" width="9.1015625" customWidth="1"/>
    <col min="14343" max="14343" width="9.703125" customWidth="1"/>
    <col min="14344" max="14345" width="8.296875" customWidth="1"/>
    <col min="14346" max="14346" width="9.296875" customWidth="1"/>
    <col min="14347" max="14347" width="10" customWidth="1"/>
    <col min="14593" max="14593" width="57.203125" customWidth="1"/>
    <col min="14594" max="14594" width="8.8984375" customWidth="1"/>
    <col min="14595" max="14595" width="8.796875" customWidth="1"/>
    <col min="14596" max="14596" width="8.3984375" customWidth="1"/>
    <col min="14597" max="14597" width="9.6015625" customWidth="1"/>
    <col min="14598" max="14598" width="9.1015625" customWidth="1"/>
    <col min="14599" max="14599" width="9.703125" customWidth="1"/>
    <col min="14600" max="14601" width="8.296875" customWidth="1"/>
    <col min="14602" max="14602" width="9.296875" customWidth="1"/>
    <col min="14603" max="14603" width="10" customWidth="1"/>
    <col min="14849" max="14849" width="57.203125" customWidth="1"/>
    <col min="14850" max="14850" width="8.8984375" customWidth="1"/>
    <col min="14851" max="14851" width="8.796875" customWidth="1"/>
    <col min="14852" max="14852" width="8.3984375" customWidth="1"/>
    <col min="14853" max="14853" width="9.6015625" customWidth="1"/>
    <col min="14854" max="14854" width="9.1015625" customWidth="1"/>
    <col min="14855" max="14855" width="9.703125" customWidth="1"/>
    <col min="14856" max="14857" width="8.296875" customWidth="1"/>
    <col min="14858" max="14858" width="9.296875" customWidth="1"/>
    <col min="14859" max="14859" width="10" customWidth="1"/>
    <col min="15105" max="15105" width="57.203125" customWidth="1"/>
    <col min="15106" max="15106" width="8.8984375" customWidth="1"/>
    <col min="15107" max="15107" width="8.796875" customWidth="1"/>
    <col min="15108" max="15108" width="8.3984375" customWidth="1"/>
    <col min="15109" max="15109" width="9.6015625" customWidth="1"/>
    <col min="15110" max="15110" width="9.1015625" customWidth="1"/>
    <col min="15111" max="15111" width="9.703125" customWidth="1"/>
    <col min="15112" max="15113" width="8.296875" customWidth="1"/>
    <col min="15114" max="15114" width="9.296875" customWidth="1"/>
    <col min="15115" max="15115" width="10" customWidth="1"/>
    <col min="15361" max="15361" width="57.203125" customWidth="1"/>
    <col min="15362" max="15362" width="8.8984375" customWidth="1"/>
    <col min="15363" max="15363" width="8.796875" customWidth="1"/>
    <col min="15364" max="15364" width="8.3984375" customWidth="1"/>
    <col min="15365" max="15365" width="9.6015625" customWidth="1"/>
    <col min="15366" max="15366" width="9.1015625" customWidth="1"/>
    <col min="15367" max="15367" width="9.703125" customWidth="1"/>
    <col min="15368" max="15369" width="8.296875" customWidth="1"/>
    <col min="15370" max="15370" width="9.296875" customWidth="1"/>
    <col min="15371" max="15371" width="10" customWidth="1"/>
    <col min="15617" max="15617" width="57.203125" customWidth="1"/>
    <col min="15618" max="15618" width="8.8984375" customWidth="1"/>
    <col min="15619" max="15619" width="8.796875" customWidth="1"/>
    <col min="15620" max="15620" width="8.3984375" customWidth="1"/>
    <col min="15621" max="15621" width="9.6015625" customWidth="1"/>
    <col min="15622" max="15622" width="9.1015625" customWidth="1"/>
    <col min="15623" max="15623" width="9.703125" customWidth="1"/>
    <col min="15624" max="15625" width="8.296875" customWidth="1"/>
    <col min="15626" max="15626" width="9.296875" customWidth="1"/>
    <col min="15627" max="15627" width="10" customWidth="1"/>
    <col min="15873" max="15873" width="57.203125" customWidth="1"/>
    <col min="15874" max="15874" width="8.8984375" customWidth="1"/>
    <col min="15875" max="15875" width="8.796875" customWidth="1"/>
    <col min="15876" max="15876" width="8.3984375" customWidth="1"/>
    <col min="15877" max="15877" width="9.6015625" customWidth="1"/>
    <col min="15878" max="15878" width="9.1015625" customWidth="1"/>
    <col min="15879" max="15879" width="9.703125" customWidth="1"/>
    <col min="15880" max="15881" width="8.296875" customWidth="1"/>
    <col min="15882" max="15882" width="9.296875" customWidth="1"/>
    <col min="15883" max="15883" width="10" customWidth="1"/>
    <col min="16129" max="16129" width="57.203125" customWidth="1"/>
    <col min="16130" max="16130" width="8.8984375" customWidth="1"/>
    <col min="16131" max="16131" width="8.796875" customWidth="1"/>
    <col min="16132" max="16132" width="8.3984375" customWidth="1"/>
    <col min="16133" max="16133" width="9.6015625" customWidth="1"/>
    <col min="16134" max="16134" width="9.1015625" customWidth="1"/>
    <col min="16135" max="16135" width="9.703125" customWidth="1"/>
    <col min="16136" max="16137" width="8.296875" customWidth="1"/>
    <col min="16138" max="16138" width="9.296875" customWidth="1"/>
    <col min="16139" max="16139" width="10" customWidth="1"/>
  </cols>
  <sheetData>
    <row r="1" s="23" customFormat="1" ht="91" customHeight="1" spans="1:11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ht="18.35" customHeight="1" spans="1:11">
      <c r="A2" s="28" t="s">
        <v>1</v>
      </c>
      <c r="B2" s="29" t="s">
        <v>2</v>
      </c>
      <c r="C2" s="30"/>
      <c r="D2" s="30"/>
      <c r="E2" s="30"/>
      <c r="F2" s="30"/>
      <c r="G2" s="30"/>
      <c r="H2" s="30"/>
      <c r="I2" s="30"/>
      <c r="J2" s="30"/>
      <c r="K2" s="72"/>
    </row>
    <row r="3" ht="17.6" customHeight="1" spans="1:11">
      <c r="A3" s="31"/>
      <c r="B3" s="32">
        <v>1</v>
      </c>
      <c r="C3" s="32">
        <v>2</v>
      </c>
      <c r="D3" s="32">
        <v>3</v>
      </c>
      <c r="E3" s="32">
        <v>4</v>
      </c>
      <c r="F3" s="32">
        <v>5</v>
      </c>
      <c r="G3" s="32">
        <v>6</v>
      </c>
      <c r="H3" s="32">
        <v>7</v>
      </c>
      <c r="I3" s="32">
        <v>8</v>
      </c>
      <c r="J3" s="32">
        <v>9</v>
      </c>
      <c r="K3" s="32">
        <v>10</v>
      </c>
    </row>
    <row r="4" ht="13.6" customHeight="1" spans="1:11">
      <c r="A4" s="33" t="s">
        <v>3</v>
      </c>
      <c r="B4" s="34">
        <v>4800</v>
      </c>
      <c r="C4" s="34">
        <v>6000</v>
      </c>
      <c r="D4" s="34">
        <v>7200</v>
      </c>
      <c r="E4" s="34">
        <v>50000</v>
      </c>
      <c r="F4" s="34">
        <v>4500</v>
      </c>
      <c r="G4" s="36">
        <v>6300</v>
      </c>
      <c r="H4" s="36">
        <v>7000</v>
      </c>
      <c r="I4" s="36">
        <v>6000</v>
      </c>
      <c r="J4" s="36">
        <v>5500</v>
      </c>
      <c r="K4" s="36">
        <v>7400</v>
      </c>
    </row>
    <row r="5" ht="13.6" customHeight="1" spans="1:11">
      <c r="A5" s="35" t="s">
        <v>4</v>
      </c>
      <c r="B5" s="34">
        <v>30</v>
      </c>
      <c r="C5" s="34">
        <v>22</v>
      </c>
      <c r="D5" s="34">
        <v>24</v>
      </c>
      <c r="E5" s="34">
        <v>35</v>
      </c>
      <c r="F5" s="34">
        <v>27</v>
      </c>
      <c r="G5" s="36">
        <v>28</v>
      </c>
      <c r="H5" s="36">
        <v>35</v>
      </c>
      <c r="I5" s="36">
        <v>40</v>
      </c>
      <c r="J5" s="36">
        <v>37</v>
      </c>
      <c r="K5" s="36">
        <v>19</v>
      </c>
    </row>
    <row r="6" ht="15.45" customHeight="1" spans="1:11">
      <c r="A6" s="35" t="s">
        <v>5</v>
      </c>
      <c r="B6" s="34">
        <v>95</v>
      </c>
      <c r="C6" s="34">
        <v>80</v>
      </c>
      <c r="D6" s="34">
        <v>140</v>
      </c>
      <c r="E6" s="34">
        <v>160</v>
      </c>
      <c r="F6" s="34">
        <v>155</v>
      </c>
      <c r="G6" s="36">
        <v>130</v>
      </c>
      <c r="H6" s="36">
        <v>240</v>
      </c>
      <c r="I6" s="36">
        <v>270</v>
      </c>
      <c r="J6" s="36">
        <v>360</v>
      </c>
      <c r="K6" s="36">
        <v>150</v>
      </c>
    </row>
    <row r="7" ht="13.3" customHeight="1" spans="1:11">
      <c r="A7" s="35" t="s">
        <v>6</v>
      </c>
      <c r="B7" s="34">
        <v>0.35</v>
      </c>
      <c r="C7" s="34">
        <v>0.37</v>
      </c>
      <c r="D7" s="34">
        <v>0.38</v>
      </c>
      <c r="E7" s="34">
        <v>0.4</v>
      </c>
      <c r="F7" s="34">
        <v>0.39</v>
      </c>
      <c r="G7" s="36">
        <v>0.38</v>
      </c>
      <c r="H7" s="36">
        <v>0.35</v>
      </c>
      <c r="I7" s="36">
        <v>0.37</v>
      </c>
      <c r="J7" s="36">
        <v>0.36</v>
      </c>
      <c r="K7" s="36">
        <v>0.42</v>
      </c>
    </row>
    <row r="8" ht="13.3" customHeight="1" spans="1:11">
      <c r="A8" s="35" t="s">
        <v>7</v>
      </c>
      <c r="B8" s="36">
        <v>2400</v>
      </c>
      <c r="C8" s="36">
        <v>5000</v>
      </c>
      <c r="D8" s="36">
        <v>6000</v>
      </c>
      <c r="E8" s="36">
        <v>4000</v>
      </c>
      <c r="F8" s="36">
        <v>4500</v>
      </c>
      <c r="G8" s="36">
        <v>3950</v>
      </c>
      <c r="H8" s="36">
        <v>4000</v>
      </c>
      <c r="I8" s="36">
        <v>5050</v>
      </c>
      <c r="J8" s="36">
        <v>5000</v>
      </c>
      <c r="K8" s="36">
        <v>4700</v>
      </c>
    </row>
    <row r="9" ht="16.15" customHeight="1" spans="1:11">
      <c r="A9" s="35" t="s">
        <v>8</v>
      </c>
      <c r="B9" s="36">
        <v>7500</v>
      </c>
      <c r="C9" s="36">
        <v>9500</v>
      </c>
      <c r="D9" s="36">
        <v>9000</v>
      </c>
      <c r="E9" s="36">
        <v>8500</v>
      </c>
      <c r="F9" s="36">
        <v>6500</v>
      </c>
      <c r="G9" s="36">
        <v>6500</v>
      </c>
      <c r="H9" s="36">
        <v>7000</v>
      </c>
      <c r="I9" s="36">
        <v>5000</v>
      </c>
      <c r="J9" s="36">
        <v>4500</v>
      </c>
      <c r="K9" s="36">
        <v>6000</v>
      </c>
    </row>
    <row r="10" ht="14" customHeight="1" spans="1:11">
      <c r="A10" s="35" t="s">
        <v>9</v>
      </c>
      <c r="B10" s="36">
        <v>5500</v>
      </c>
      <c r="C10" s="36">
        <v>6500</v>
      </c>
      <c r="D10" s="36">
        <v>6000</v>
      </c>
      <c r="E10" s="36">
        <v>5000</v>
      </c>
      <c r="F10" s="36">
        <v>4000</v>
      </c>
      <c r="G10" s="36">
        <v>8580</v>
      </c>
      <c r="H10" s="36">
        <v>3140</v>
      </c>
      <c r="I10" s="36">
        <v>3560</v>
      </c>
      <c r="J10" s="36">
        <v>4680</v>
      </c>
      <c r="K10" s="36">
        <v>7340</v>
      </c>
    </row>
    <row r="11" ht="14" customHeight="1" spans="1:11">
      <c r="A11" s="35" t="s">
        <v>10</v>
      </c>
      <c r="B11" s="36">
        <v>65600</v>
      </c>
      <c r="C11" s="36">
        <v>38400</v>
      </c>
      <c r="D11" s="36">
        <v>54600</v>
      </c>
      <c r="E11" s="36">
        <v>62500</v>
      </c>
      <c r="F11" s="36">
        <v>72800</v>
      </c>
      <c r="G11" s="36">
        <v>19840</v>
      </c>
      <c r="H11" s="36">
        <v>15270</v>
      </c>
      <c r="I11" s="36">
        <v>16450</v>
      </c>
      <c r="J11" s="36">
        <v>17150</v>
      </c>
      <c r="K11" s="36">
        <v>19270</v>
      </c>
    </row>
    <row r="12" ht="15.45" customHeight="1" spans="1:11">
      <c r="A12" s="35" t="s">
        <v>11</v>
      </c>
      <c r="B12" s="36">
        <v>9000</v>
      </c>
      <c r="C12" s="36">
        <v>5500</v>
      </c>
      <c r="D12" s="36">
        <v>6000</v>
      </c>
      <c r="E12" s="36">
        <v>8000</v>
      </c>
      <c r="F12" s="36">
        <v>4500</v>
      </c>
      <c r="G12" s="36">
        <v>2200</v>
      </c>
      <c r="H12" s="36">
        <v>2300</v>
      </c>
      <c r="I12" s="36">
        <v>1800</v>
      </c>
      <c r="J12" s="36">
        <v>2050</v>
      </c>
      <c r="K12" s="36">
        <v>2000</v>
      </c>
    </row>
    <row r="13" ht="13.85" customHeight="1" spans="1:11">
      <c r="A13" s="35" t="s">
        <v>12</v>
      </c>
      <c r="B13" s="36">
        <v>26000</v>
      </c>
      <c r="C13" s="36">
        <v>21000</v>
      </c>
      <c r="D13" s="36">
        <v>17000</v>
      </c>
      <c r="E13" s="36">
        <v>25000</v>
      </c>
      <c r="F13" s="36">
        <v>19000</v>
      </c>
      <c r="G13" s="36">
        <v>19000</v>
      </c>
      <c r="H13" s="36">
        <v>10000</v>
      </c>
      <c r="I13" s="36">
        <v>17000</v>
      </c>
      <c r="J13" s="36">
        <v>13000</v>
      </c>
      <c r="K13" s="36">
        <v>11000</v>
      </c>
    </row>
    <row r="14" ht="14" customHeight="1" spans="1:11">
      <c r="A14" s="35" t="s">
        <v>13</v>
      </c>
      <c r="B14" s="36">
        <v>20000</v>
      </c>
      <c r="C14" s="36">
        <v>18000</v>
      </c>
      <c r="D14" s="36">
        <v>15000</v>
      </c>
      <c r="E14" s="36">
        <v>21000</v>
      </c>
      <c r="F14" s="36">
        <v>14000</v>
      </c>
      <c r="G14" s="36">
        <v>15000</v>
      </c>
      <c r="H14" s="36">
        <v>2800</v>
      </c>
      <c r="I14" s="36">
        <v>4000</v>
      </c>
      <c r="J14" s="36">
        <v>1900</v>
      </c>
      <c r="K14" s="36">
        <v>3500</v>
      </c>
    </row>
    <row r="15" ht="13.6" customHeight="1" spans="1:11">
      <c r="A15" s="35" t="s">
        <v>14</v>
      </c>
      <c r="B15" s="36">
        <v>25000</v>
      </c>
      <c r="C15" s="36">
        <v>6500</v>
      </c>
      <c r="D15" s="36">
        <v>2200</v>
      </c>
      <c r="E15" s="36">
        <v>1400</v>
      </c>
      <c r="F15" s="36">
        <v>3100</v>
      </c>
      <c r="G15" s="36">
        <v>150</v>
      </c>
      <c r="H15" s="36">
        <v>10000</v>
      </c>
      <c r="I15" s="36">
        <v>11000</v>
      </c>
      <c r="J15" s="36">
        <v>12000</v>
      </c>
      <c r="K15" s="36">
        <v>14000</v>
      </c>
    </row>
    <row r="16" ht="14.65" customHeight="1" spans="1:11">
      <c r="A16" s="35" t="s">
        <v>15</v>
      </c>
      <c r="B16" s="36">
        <v>15000</v>
      </c>
      <c r="C16" s="36">
        <v>11000</v>
      </c>
      <c r="D16" s="36">
        <v>16000</v>
      </c>
      <c r="E16" s="36">
        <v>95000</v>
      </c>
      <c r="F16" s="36">
        <v>12000</v>
      </c>
      <c r="G16" s="36">
        <v>17000</v>
      </c>
      <c r="H16" s="36">
        <v>13000</v>
      </c>
      <c r="I16" s="36">
        <v>19000</v>
      </c>
      <c r="J16" s="36">
        <v>16000</v>
      </c>
      <c r="K16" s="36">
        <v>11000</v>
      </c>
    </row>
    <row r="17" spans="1:11">
      <c r="A17" s="35" t="s">
        <v>16</v>
      </c>
      <c r="B17" s="37">
        <v>25</v>
      </c>
      <c r="C17" s="34">
        <v>12</v>
      </c>
      <c r="D17" s="34">
        <v>18</v>
      </c>
      <c r="E17" s="34">
        <v>20</v>
      </c>
      <c r="F17" s="34">
        <v>16</v>
      </c>
      <c r="G17" s="34">
        <v>10</v>
      </c>
      <c r="H17" s="34">
        <v>13</v>
      </c>
      <c r="I17" s="34">
        <v>15</v>
      </c>
      <c r="J17" s="34">
        <v>17</v>
      </c>
      <c r="K17" s="34">
        <v>18</v>
      </c>
    </row>
    <row r="18" ht="18" customHeight="1" spans="1:11">
      <c r="A18" s="38" t="s">
        <v>17</v>
      </c>
      <c r="B18" s="39"/>
      <c r="C18" s="40"/>
      <c r="D18" s="40"/>
      <c r="E18" s="40"/>
      <c r="F18" s="40"/>
      <c r="G18" s="40"/>
      <c r="H18" s="40"/>
      <c r="I18" s="40"/>
      <c r="J18" s="40"/>
      <c r="K18" s="40"/>
    </row>
    <row r="19" spans="1:11">
      <c r="A19" s="41" t="s">
        <v>18</v>
      </c>
      <c r="B19" s="42"/>
      <c r="C19" s="42"/>
      <c r="D19" s="42"/>
      <c r="E19" s="42"/>
      <c r="F19" s="42"/>
      <c r="G19" s="42"/>
      <c r="H19" s="42"/>
      <c r="I19" s="42"/>
      <c r="J19" s="73">
        <f>J5*J4+J6*J7*J4+J8</f>
        <v>921300</v>
      </c>
      <c r="K19" s="42"/>
    </row>
    <row r="20" spans="1:11">
      <c r="A20" s="43" t="s">
        <v>19</v>
      </c>
      <c r="B20" s="44"/>
      <c r="C20" s="44"/>
      <c r="D20" s="44"/>
      <c r="E20" s="44"/>
      <c r="F20" s="44"/>
      <c r="G20" s="44"/>
      <c r="H20" s="44"/>
      <c r="I20" s="44"/>
      <c r="J20" s="74">
        <f>J9+J10</f>
        <v>9180</v>
      </c>
      <c r="K20" s="44"/>
    </row>
    <row r="21" spans="1:11">
      <c r="A21" s="43" t="s">
        <v>20</v>
      </c>
      <c r="B21" s="45"/>
      <c r="C21" s="45"/>
      <c r="D21" s="45"/>
      <c r="E21" s="45"/>
      <c r="F21" s="45"/>
      <c r="G21" s="45"/>
      <c r="H21" s="45"/>
      <c r="I21" s="45"/>
      <c r="J21" s="74">
        <f>J20*26%</f>
        <v>2386.8</v>
      </c>
      <c r="K21" s="45"/>
    </row>
    <row r="22" spans="1:11">
      <c r="A22" s="43" t="s">
        <v>21</v>
      </c>
      <c r="B22" s="44"/>
      <c r="C22" s="44"/>
      <c r="D22" s="44"/>
      <c r="E22" s="44"/>
      <c r="F22" s="44"/>
      <c r="G22" s="44"/>
      <c r="H22" s="44"/>
      <c r="I22" s="44"/>
      <c r="J22" s="74">
        <f>J11</f>
        <v>17150</v>
      </c>
      <c r="K22" s="44"/>
    </row>
    <row r="23" spans="1:11">
      <c r="A23" s="43" t="s">
        <v>22</v>
      </c>
      <c r="B23" s="44"/>
      <c r="C23" s="44"/>
      <c r="D23" s="44"/>
      <c r="E23" s="44"/>
      <c r="F23" s="44"/>
      <c r="G23" s="44"/>
      <c r="H23" s="44"/>
      <c r="I23" s="44"/>
      <c r="J23" s="74">
        <f>SUM(J12:J16)</f>
        <v>44950</v>
      </c>
      <c r="K23" s="44"/>
    </row>
    <row r="24" spans="1:11">
      <c r="A24" s="46" t="s">
        <v>23</v>
      </c>
      <c r="B24" s="47"/>
      <c r="C24" s="47"/>
      <c r="D24" s="47"/>
      <c r="E24" s="47"/>
      <c r="F24" s="47"/>
      <c r="G24" s="47"/>
      <c r="H24" s="47"/>
      <c r="I24" s="47"/>
      <c r="J24" s="75">
        <f>SUM(J19:J23)</f>
        <v>994966.8</v>
      </c>
      <c r="K24" s="47"/>
    </row>
    <row r="25" spans="1:11">
      <c r="A25" s="46" t="s">
        <v>24</v>
      </c>
      <c r="B25" s="48"/>
      <c r="C25" s="48"/>
      <c r="D25" s="48"/>
      <c r="E25" s="48"/>
      <c r="F25" s="48"/>
      <c r="G25" s="48"/>
      <c r="H25" s="48"/>
      <c r="I25" s="48"/>
      <c r="J25" s="75">
        <f>J24/J4</f>
        <v>180.903054545455</v>
      </c>
      <c r="K25" s="48"/>
    </row>
    <row r="26" spans="1:11">
      <c r="A26" s="49" t="s">
        <v>25</v>
      </c>
      <c r="B26" s="50"/>
      <c r="C26" s="50"/>
      <c r="D26" s="50"/>
      <c r="E26" s="50"/>
      <c r="F26" s="50"/>
      <c r="G26" s="50"/>
      <c r="H26" s="50"/>
      <c r="I26" s="50"/>
      <c r="J26" s="76">
        <f>J25*(1+J17/100)</f>
        <v>211.656573818182</v>
      </c>
      <c r="K26" s="50"/>
    </row>
    <row r="27" ht="29" customHeight="1" spans="1:13">
      <c r="A27" s="51" t="s">
        <v>26</v>
      </c>
      <c r="B27" s="52"/>
      <c r="C27" s="52"/>
      <c r="D27" s="52"/>
      <c r="E27" s="52"/>
      <c r="F27" s="52"/>
      <c r="G27" s="52"/>
      <c r="H27" s="52"/>
      <c r="I27" s="52"/>
      <c r="J27" s="77">
        <f>J8+J10+J10*26%+SUM(J11:J15)</f>
        <v>56996.8</v>
      </c>
      <c r="K27" s="52"/>
      <c r="M27" s="82"/>
    </row>
    <row r="28" ht="15.45" customHeight="1" spans="1:11">
      <c r="A28" s="53" t="s">
        <v>27</v>
      </c>
      <c r="B28" s="52"/>
      <c r="C28" s="52"/>
      <c r="D28" s="52"/>
      <c r="E28" s="52"/>
      <c r="F28" s="52"/>
      <c r="G28" s="52"/>
      <c r="H28" s="52"/>
      <c r="I28" s="52"/>
      <c r="J28" s="77">
        <f>(J24-J27)/J4</f>
        <v>170.54</v>
      </c>
      <c r="K28" s="52"/>
    </row>
    <row r="29" ht="18" customHeight="1" spans="1:11">
      <c r="A29" s="54" t="s">
        <v>28</v>
      </c>
      <c r="B29" s="55"/>
      <c r="C29" s="55"/>
      <c r="D29" s="55"/>
      <c r="E29" s="55"/>
      <c r="F29" s="55"/>
      <c r="G29" s="55"/>
      <c r="H29" s="55"/>
      <c r="I29" s="55"/>
      <c r="J29" s="78">
        <f>J27/(J26-J28)</f>
        <v>1386.2244517756</v>
      </c>
      <c r="K29" s="55"/>
    </row>
    <row r="30" ht="18" customHeight="1" spans="1:11">
      <c r="A30" s="56" t="s">
        <v>29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</row>
    <row r="31" spans="1:11">
      <c r="A31" s="43" t="s">
        <v>30</v>
      </c>
      <c r="B31" s="58"/>
      <c r="C31" s="58"/>
      <c r="D31" s="58"/>
      <c r="E31" s="58"/>
      <c r="F31" s="58"/>
      <c r="G31" s="58"/>
      <c r="H31" s="58"/>
      <c r="I31" s="58"/>
      <c r="J31" s="79">
        <f>J19/J24*100</f>
        <v>92.5960544613147</v>
      </c>
      <c r="K31" s="58"/>
    </row>
    <row r="32" spans="1:11">
      <c r="A32" s="43" t="s">
        <v>31</v>
      </c>
      <c r="B32" s="58"/>
      <c r="C32" s="58"/>
      <c r="D32" s="58"/>
      <c r="E32" s="58"/>
      <c r="F32" s="58"/>
      <c r="G32" s="58"/>
      <c r="H32" s="58"/>
      <c r="I32" s="58"/>
      <c r="J32" s="79">
        <f>J20/J24*100</f>
        <v>0.922643851031009</v>
      </c>
      <c r="K32" s="58"/>
    </row>
    <row r="33" spans="1:11">
      <c r="A33" s="43" t="s">
        <v>32</v>
      </c>
      <c r="B33" s="58"/>
      <c r="C33" s="58"/>
      <c r="D33" s="58"/>
      <c r="E33" s="58"/>
      <c r="F33" s="58"/>
      <c r="G33" s="58"/>
      <c r="H33" s="58"/>
      <c r="I33" s="58"/>
      <c r="J33" s="79">
        <f>J21/J24*100</f>
        <v>0.239887401268062</v>
      </c>
      <c r="K33" s="58"/>
    </row>
    <row r="34" spans="1:11">
      <c r="A34" s="43" t="s">
        <v>33</v>
      </c>
      <c r="B34" s="58"/>
      <c r="C34" s="58"/>
      <c r="D34" s="58"/>
      <c r="E34" s="58"/>
      <c r="F34" s="58"/>
      <c r="G34" s="58"/>
      <c r="H34" s="58"/>
      <c r="I34" s="58"/>
      <c r="J34" s="79">
        <f>J22/J24*100</f>
        <v>1.72367560405031</v>
      </c>
      <c r="K34" s="58"/>
    </row>
    <row r="35" spans="1:11">
      <c r="A35" s="43" t="s">
        <v>34</v>
      </c>
      <c r="B35" s="58"/>
      <c r="C35" s="58"/>
      <c r="D35" s="58"/>
      <c r="E35" s="58"/>
      <c r="F35" s="58"/>
      <c r="G35" s="58"/>
      <c r="H35" s="58"/>
      <c r="I35" s="58"/>
      <c r="J35" s="79">
        <f>J23/J24*100</f>
        <v>4.51773868233593</v>
      </c>
      <c r="K35" s="58"/>
    </row>
    <row r="36" spans="1:11">
      <c r="A36" s="59" t="s">
        <v>35</v>
      </c>
      <c r="B36" s="60"/>
      <c r="C36" s="60"/>
      <c r="D36" s="60"/>
      <c r="E36" s="60"/>
      <c r="F36" s="60"/>
      <c r="G36" s="60"/>
      <c r="H36" s="60"/>
      <c r="I36" s="60"/>
      <c r="J36" s="80">
        <f>SUM(J31:J35)</f>
        <v>100</v>
      </c>
      <c r="K36" s="60"/>
    </row>
    <row r="37" ht="18" customHeight="1" spans="1:11">
      <c r="A37" s="61" t="s">
        <v>36</v>
      </c>
      <c r="B37" s="62"/>
      <c r="C37" s="62"/>
      <c r="D37" s="62"/>
      <c r="E37" s="62"/>
      <c r="F37" s="62"/>
      <c r="G37" s="62"/>
      <c r="H37" s="62"/>
      <c r="I37" s="62"/>
      <c r="J37" s="81">
        <f>(J4-J29)*J26</f>
        <v>870707.63799419</v>
      </c>
      <c r="K37" s="62"/>
    </row>
    <row r="38" ht="18" customHeight="1" spans="1:11">
      <c r="A38" s="61" t="s">
        <v>37</v>
      </c>
      <c r="B38" s="62"/>
      <c r="C38" s="62"/>
      <c r="D38" s="62"/>
      <c r="E38" s="62"/>
      <c r="F38" s="62"/>
      <c r="G38" s="62"/>
      <c r="H38" s="62"/>
      <c r="I38" s="62"/>
      <c r="J38" s="81">
        <f>J37/(J4*J26)*100</f>
        <v>74.7959190586255</v>
      </c>
      <c r="K38" s="62"/>
    </row>
    <row r="40" ht="17.6" customHeight="1" spans="1:1">
      <c r="A40" s="63" t="s">
        <v>38</v>
      </c>
    </row>
    <row r="41" ht="68" customHeight="1" spans="1:1">
      <c r="A41" s="64" t="s">
        <v>39</v>
      </c>
    </row>
    <row r="42" ht="31.05" customHeight="1" spans="1:1">
      <c r="A42" s="65" t="s">
        <v>40</v>
      </c>
    </row>
    <row r="43" ht="34" customHeight="1" spans="1:1">
      <c r="A43" s="65" t="s">
        <v>41</v>
      </c>
    </row>
    <row r="44" ht="17" customHeight="1" spans="1:1">
      <c r="A44" s="65" t="s">
        <v>42</v>
      </c>
    </row>
    <row r="45" ht="51" customHeight="1" spans="1:1">
      <c r="A45" s="65" t="s">
        <v>43</v>
      </c>
    </row>
    <row r="46" ht="101" customHeight="1" spans="1:1">
      <c r="A46" s="65" t="s">
        <v>44</v>
      </c>
    </row>
    <row r="47" ht="51" customHeight="1" spans="1:1">
      <c r="A47" s="64" t="s">
        <v>45</v>
      </c>
    </row>
    <row r="48" spans="1:1">
      <c r="A48" s="66"/>
    </row>
    <row r="49" ht="34" customHeight="1" spans="1:1">
      <c r="A49" s="64" t="s">
        <v>46</v>
      </c>
    </row>
    <row r="50" ht="37" customHeight="1" spans="1:1">
      <c r="A50" s="64" t="s">
        <v>47</v>
      </c>
    </row>
    <row r="51" ht="38.7" customHeight="1" spans="1:1">
      <c r="A51" s="67"/>
    </row>
    <row r="52" ht="34" customHeight="1" spans="1:1">
      <c r="A52" s="68" t="s">
        <v>48</v>
      </c>
    </row>
    <row r="53" ht="17" customHeight="1" spans="1:1">
      <c r="A53" s="68" t="s">
        <v>49</v>
      </c>
    </row>
    <row r="54" ht="32.25" customHeight="1" spans="1:1">
      <c r="A54" s="67"/>
    </row>
    <row r="55" ht="17" customHeight="1" spans="1:1">
      <c r="A55" s="64" t="s">
        <v>50</v>
      </c>
    </row>
    <row r="56" ht="34" customHeight="1" spans="1:1">
      <c r="A56" s="66" t="s">
        <v>51</v>
      </c>
    </row>
    <row r="57" ht="17" customHeight="1" spans="1:1">
      <c r="A57" s="66" t="s">
        <v>52</v>
      </c>
    </row>
    <row r="58" ht="37" customHeight="1" spans="1:1">
      <c r="A58" s="64" t="s">
        <v>53</v>
      </c>
    </row>
    <row r="59" spans="1:1">
      <c r="A59" s="69" t="s">
        <v>54</v>
      </c>
    </row>
    <row r="60" ht="24.2" customHeight="1" spans="1:1">
      <c r="A60" s="69" t="s">
        <v>55</v>
      </c>
    </row>
    <row r="61" ht="37" customHeight="1" spans="1:1">
      <c r="A61" s="66" t="s">
        <v>56</v>
      </c>
    </row>
    <row r="62" ht="20.45" customHeight="1" spans="1:1">
      <c r="A62" s="66" t="s">
        <v>57</v>
      </c>
    </row>
    <row r="63" ht="61" customHeight="1" spans="1:1">
      <c r="A63" s="70" t="s">
        <v>58</v>
      </c>
    </row>
    <row r="64" spans="1:1">
      <c r="A64" s="71" t="s">
        <v>59</v>
      </c>
    </row>
    <row r="65" spans="1:1">
      <c r="A65" s="83"/>
    </row>
    <row r="66" spans="1:1">
      <c r="A66" s="71" t="s">
        <v>60</v>
      </c>
    </row>
    <row r="67" ht="84" customHeight="1" spans="1:1">
      <c r="A67" s="84" t="s">
        <v>61</v>
      </c>
    </row>
    <row r="68" spans="1:1">
      <c r="A68" s="85" t="s">
        <v>62</v>
      </c>
    </row>
  </sheetData>
  <mergeCells count="3">
    <mergeCell ref="A1:K1"/>
    <mergeCell ref="B2:K2"/>
    <mergeCell ref="A2:A3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zoomScale="85" zoomScaleNormal="85" workbookViewId="0">
      <selection activeCell="A10" sqref="A10"/>
    </sheetView>
  </sheetViews>
  <sheetFormatPr defaultColWidth="9" defaultRowHeight="16.8" outlineLevelCol="7"/>
  <cols>
    <col min="1" max="1" width="16" customWidth="1"/>
    <col min="2" max="2" width="12.296875" customWidth="1"/>
    <col min="3" max="3" width="13.203125" customWidth="1"/>
    <col min="4" max="4" width="9.8984375" customWidth="1"/>
    <col min="5" max="5" width="14.3984375" customWidth="1"/>
    <col min="6" max="6" width="17.296875" customWidth="1"/>
    <col min="7" max="8" width="20.703125" customWidth="1"/>
    <col min="257" max="257" width="16" customWidth="1"/>
    <col min="258" max="258" width="12.296875" customWidth="1"/>
    <col min="259" max="259" width="13.203125" customWidth="1"/>
    <col min="260" max="260" width="9.8984375" customWidth="1"/>
    <col min="261" max="261" width="14.3984375" customWidth="1"/>
    <col min="262" max="262" width="17.296875" customWidth="1"/>
    <col min="263" max="264" width="20.703125" customWidth="1"/>
    <col min="513" max="513" width="16" customWidth="1"/>
    <col min="514" max="514" width="12.296875" customWidth="1"/>
    <col min="515" max="515" width="13.203125" customWidth="1"/>
    <col min="516" max="516" width="9.8984375" customWidth="1"/>
    <col min="517" max="517" width="14.3984375" customWidth="1"/>
    <col min="518" max="518" width="17.296875" customWidth="1"/>
    <col min="519" max="520" width="20.703125" customWidth="1"/>
    <col min="769" max="769" width="16" customWidth="1"/>
    <col min="770" max="770" width="12.296875" customWidth="1"/>
    <col min="771" max="771" width="13.203125" customWidth="1"/>
    <col min="772" max="772" width="9.8984375" customWidth="1"/>
    <col min="773" max="773" width="14.3984375" customWidth="1"/>
    <col min="774" max="774" width="17.296875" customWidth="1"/>
    <col min="775" max="776" width="20.703125" customWidth="1"/>
    <col min="1025" max="1025" width="16" customWidth="1"/>
    <col min="1026" max="1026" width="12.296875" customWidth="1"/>
    <col min="1027" max="1027" width="13.203125" customWidth="1"/>
    <col min="1028" max="1028" width="9.8984375" customWidth="1"/>
    <col min="1029" max="1029" width="14.3984375" customWidth="1"/>
    <col min="1030" max="1030" width="17.296875" customWidth="1"/>
    <col min="1031" max="1032" width="20.703125" customWidth="1"/>
    <col min="1281" max="1281" width="16" customWidth="1"/>
    <col min="1282" max="1282" width="12.296875" customWidth="1"/>
    <col min="1283" max="1283" width="13.203125" customWidth="1"/>
    <col min="1284" max="1284" width="9.8984375" customWidth="1"/>
    <col min="1285" max="1285" width="14.3984375" customWidth="1"/>
    <col min="1286" max="1286" width="17.296875" customWidth="1"/>
    <col min="1287" max="1288" width="20.703125" customWidth="1"/>
    <col min="1537" max="1537" width="16" customWidth="1"/>
    <col min="1538" max="1538" width="12.296875" customWidth="1"/>
    <col min="1539" max="1539" width="13.203125" customWidth="1"/>
    <col min="1540" max="1540" width="9.8984375" customWidth="1"/>
    <col min="1541" max="1541" width="14.3984375" customWidth="1"/>
    <col min="1542" max="1542" width="17.296875" customWidth="1"/>
    <col min="1543" max="1544" width="20.703125" customWidth="1"/>
    <col min="1793" max="1793" width="16" customWidth="1"/>
    <col min="1794" max="1794" width="12.296875" customWidth="1"/>
    <col min="1795" max="1795" width="13.203125" customWidth="1"/>
    <col min="1796" max="1796" width="9.8984375" customWidth="1"/>
    <col min="1797" max="1797" width="14.3984375" customWidth="1"/>
    <col min="1798" max="1798" width="17.296875" customWidth="1"/>
    <col min="1799" max="1800" width="20.703125" customWidth="1"/>
    <col min="2049" max="2049" width="16" customWidth="1"/>
    <col min="2050" max="2050" width="12.296875" customWidth="1"/>
    <col min="2051" max="2051" width="13.203125" customWidth="1"/>
    <col min="2052" max="2052" width="9.8984375" customWidth="1"/>
    <col min="2053" max="2053" width="14.3984375" customWidth="1"/>
    <col min="2054" max="2054" width="17.296875" customWidth="1"/>
    <col min="2055" max="2056" width="20.703125" customWidth="1"/>
    <col min="2305" max="2305" width="16" customWidth="1"/>
    <col min="2306" max="2306" width="12.296875" customWidth="1"/>
    <col min="2307" max="2307" width="13.203125" customWidth="1"/>
    <col min="2308" max="2308" width="9.8984375" customWidth="1"/>
    <col min="2309" max="2309" width="14.3984375" customWidth="1"/>
    <col min="2310" max="2310" width="17.296875" customWidth="1"/>
    <col min="2311" max="2312" width="20.703125" customWidth="1"/>
    <col min="2561" max="2561" width="16" customWidth="1"/>
    <col min="2562" max="2562" width="12.296875" customWidth="1"/>
    <col min="2563" max="2563" width="13.203125" customWidth="1"/>
    <col min="2564" max="2564" width="9.8984375" customWidth="1"/>
    <col min="2565" max="2565" width="14.3984375" customWidth="1"/>
    <col min="2566" max="2566" width="17.296875" customWidth="1"/>
    <col min="2567" max="2568" width="20.703125" customWidth="1"/>
    <col min="2817" max="2817" width="16" customWidth="1"/>
    <col min="2818" max="2818" width="12.296875" customWidth="1"/>
    <col min="2819" max="2819" width="13.203125" customWidth="1"/>
    <col min="2820" max="2820" width="9.8984375" customWidth="1"/>
    <col min="2821" max="2821" width="14.3984375" customWidth="1"/>
    <col min="2822" max="2822" width="17.296875" customWidth="1"/>
    <col min="2823" max="2824" width="20.703125" customWidth="1"/>
    <col min="3073" max="3073" width="16" customWidth="1"/>
    <col min="3074" max="3074" width="12.296875" customWidth="1"/>
    <col min="3075" max="3075" width="13.203125" customWidth="1"/>
    <col min="3076" max="3076" width="9.8984375" customWidth="1"/>
    <col min="3077" max="3077" width="14.3984375" customWidth="1"/>
    <col min="3078" max="3078" width="17.296875" customWidth="1"/>
    <col min="3079" max="3080" width="20.703125" customWidth="1"/>
    <col min="3329" max="3329" width="16" customWidth="1"/>
    <col min="3330" max="3330" width="12.296875" customWidth="1"/>
    <col min="3331" max="3331" width="13.203125" customWidth="1"/>
    <col min="3332" max="3332" width="9.8984375" customWidth="1"/>
    <col min="3333" max="3333" width="14.3984375" customWidth="1"/>
    <col min="3334" max="3334" width="17.296875" customWidth="1"/>
    <col min="3335" max="3336" width="20.703125" customWidth="1"/>
    <col min="3585" max="3585" width="16" customWidth="1"/>
    <col min="3586" max="3586" width="12.296875" customWidth="1"/>
    <col min="3587" max="3587" width="13.203125" customWidth="1"/>
    <col min="3588" max="3588" width="9.8984375" customWidth="1"/>
    <col min="3589" max="3589" width="14.3984375" customWidth="1"/>
    <col min="3590" max="3590" width="17.296875" customWidth="1"/>
    <col min="3591" max="3592" width="20.703125" customWidth="1"/>
    <col min="3841" max="3841" width="16" customWidth="1"/>
    <col min="3842" max="3842" width="12.296875" customWidth="1"/>
    <col min="3843" max="3843" width="13.203125" customWidth="1"/>
    <col min="3844" max="3844" width="9.8984375" customWidth="1"/>
    <col min="3845" max="3845" width="14.3984375" customWidth="1"/>
    <col min="3846" max="3846" width="17.296875" customWidth="1"/>
    <col min="3847" max="3848" width="20.703125" customWidth="1"/>
    <col min="4097" max="4097" width="16" customWidth="1"/>
    <col min="4098" max="4098" width="12.296875" customWidth="1"/>
    <col min="4099" max="4099" width="13.203125" customWidth="1"/>
    <col min="4100" max="4100" width="9.8984375" customWidth="1"/>
    <col min="4101" max="4101" width="14.3984375" customWidth="1"/>
    <col min="4102" max="4102" width="17.296875" customWidth="1"/>
    <col min="4103" max="4104" width="20.703125" customWidth="1"/>
    <col min="4353" max="4353" width="16" customWidth="1"/>
    <col min="4354" max="4354" width="12.296875" customWidth="1"/>
    <col min="4355" max="4355" width="13.203125" customWidth="1"/>
    <col min="4356" max="4356" width="9.8984375" customWidth="1"/>
    <col min="4357" max="4357" width="14.3984375" customWidth="1"/>
    <col min="4358" max="4358" width="17.296875" customWidth="1"/>
    <col min="4359" max="4360" width="20.703125" customWidth="1"/>
    <col min="4609" max="4609" width="16" customWidth="1"/>
    <col min="4610" max="4610" width="12.296875" customWidth="1"/>
    <col min="4611" max="4611" width="13.203125" customWidth="1"/>
    <col min="4612" max="4612" width="9.8984375" customWidth="1"/>
    <col min="4613" max="4613" width="14.3984375" customWidth="1"/>
    <col min="4614" max="4614" width="17.296875" customWidth="1"/>
    <col min="4615" max="4616" width="20.703125" customWidth="1"/>
    <col min="4865" max="4865" width="16" customWidth="1"/>
    <col min="4866" max="4866" width="12.296875" customWidth="1"/>
    <col min="4867" max="4867" width="13.203125" customWidth="1"/>
    <col min="4868" max="4868" width="9.8984375" customWidth="1"/>
    <col min="4869" max="4869" width="14.3984375" customWidth="1"/>
    <col min="4870" max="4870" width="17.296875" customWidth="1"/>
    <col min="4871" max="4872" width="20.703125" customWidth="1"/>
    <col min="5121" max="5121" width="16" customWidth="1"/>
    <col min="5122" max="5122" width="12.296875" customWidth="1"/>
    <col min="5123" max="5123" width="13.203125" customWidth="1"/>
    <col min="5124" max="5124" width="9.8984375" customWidth="1"/>
    <col min="5125" max="5125" width="14.3984375" customWidth="1"/>
    <col min="5126" max="5126" width="17.296875" customWidth="1"/>
    <col min="5127" max="5128" width="20.703125" customWidth="1"/>
    <col min="5377" max="5377" width="16" customWidth="1"/>
    <col min="5378" max="5378" width="12.296875" customWidth="1"/>
    <col min="5379" max="5379" width="13.203125" customWidth="1"/>
    <col min="5380" max="5380" width="9.8984375" customWidth="1"/>
    <col min="5381" max="5381" width="14.3984375" customWidth="1"/>
    <col min="5382" max="5382" width="17.296875" customWidth="1"/>
    <col min="5383" max="5384" width="20.703125" customWidth="1"/>
    <col min="5633" max="5633" width="16" customWidth="1"/>
    <col min="5634" max="5634" width="12.296875" customWidth="1"/>
    <col min="5635" max="5635" width="13.203125" customWidth="1"/>
    <col min="5636" max="5636" width="9.8984375" customWidth="1"/>
    <col min="5637" max="5637" width="14.3984375" customWidth="1"/>
    <col min="5638" max="5638" width="17.296875" customWidth="1"/>
    <col min="5639" max="5640" width="20.703125" customWidth="1"/>
    <col min="5889" max="5889" width="16" customWidth="1"/>
    <col min="5890" max="5890" width="12.296875" customWidth="1"/>
    <col min="5891" max="5891" width="13.203125" customWidth="1"/>
    <col min="5892" max="5892" width="9.8984375" customWidth="1"/>
    <col min="5893" max="5893" width="14.3984375" customWidth="1"/>
    <col min="5894" max="5894" width="17.296875" customWidth="1"/>
    <col min="5895" max="5896" width="20.703125" customWidth="1"/>
    <col min="6145" max="6145" width="16" customWidth="1"/>
    <col min="6146" max="6146" width="12.296875" customWidth="1"/>
    <col min="6147" max="6147" width="13.203125" customWidth="1"/>
    <col min="6148" max="6148" width="9.8984375" customWidth="1"/>
    <col min="6149" max="6149" width="14.3984375" customWidth="1"/>
    <col min="6150" max="6150" width="17.296875" customWidth="1"/>
    <col min="6151" max="6152" width="20.703125" customWidth="1"/>
    <col min="6401" max="6401" width="16" customWidth="1"/>
    <col min="6402" max="6402" width="12.296875" customWidth="1"/>
    <col min="6403" max="6403" width="13.203125" customWidth="1"/>
    <col min="6404" max="6404" width="9.8984375" customWidth="1"/>
    <col min="6405" max="6405" width="14.3984375" customWidth="1"/>
    <col min="6406" max="6406" width="17.296875" customWidth="1"/>
    <col min="6407" max="6408" width="20.703125" customWidth="1"/>
    <col min="6657" max="6657" width="16" customWidth="1"/>
    <col min="6658" max="6658" width="12.296875" customWidth="1"/>
    <col min="6659" max="6659" width="13.203125" customWidth="1"/>
    <col min="6660" max="6660" width="9.8984375" customWidth="1"/>
    <col min="6661" max="6661" width="14.3984375" customWidth="1"/>
    <col min="6662" max="6662" width="17.296875" customWidth="1"/>
    <col min="6663" max="6664" width="20.703125" customWidth="1"/>
    <col min="6913" max="6913" width="16" customWidth="1"/>
    <col min="6914" max="6914" width="12.296875" customWidth="1"/>
    <col min="6915" max="6915" width="13.203125" customWidth="1"/>
    <col min="6916" max="6916" width="9.8984375" customWidth="1"/>
    <col min="6917" max="6917" width="14.3984375" customWidth="1"/>
    <col min="6918" max="6918" width="17.296875" customWidth="1"/>
    <col min="6919" max="6920" width="20.703125" customWidth="1"/>
    <col min="7169" max="7169" width="16" customWidth="1"/>
    <col min="7170" max="7170" width="12.296875" customWidth="1"/>
    <col min="7171" max="7171" width="13.203125" customWidth="1"/>
    <col min="7172" max="7172" width="9.8984375" customWidth="1"/>
    <col min="7173" max="7173" width="14.3984375" customWidth="1"/>
    <col min="7174" max="7174" width="17.296875" customWidth="1"/>
    <col min="7175" max="7176" width="20.703125" customWidth="1"/>
    <col min="7425" max="7425" width="16" customWidth="1"/>
    <col min="7426" max="7426" width="12.296875" customWidth="1"/>
    <col min="7427" max="7427" width="13.203125" customWidth="1"/>
    <col min="7428" max="7428" width="9.8984375" customWidth="1"/>
    <col min="7429" max="7429" width="14.3984375" customWidth="1"/>
    <col min="7430" max="7430" width="17.296875" customWidth="1"/>
    <col min="7431" max="7432" width="20.703125" customWidth="1"/>
    <col min="7681" max="7681" width="16" customWidth="1"/>
    <col min="7682" max="7682" width="12.296875" customWidth="1"/>
    <col min="7683" max="7683" width="13.203125" customWidth="1"/>
    <col min="7684" max="7684" width="9.8984375" customWidth="1"/>
    <col min="7685" max="7685" width="14.3984375" customWidth="1"/>
    <col min="7686" max="7686" width="17.296875" customWidth="1"/>
    <col min="7687" max="7688" width="20.703125" customWidth="1"/>
    <col min="7937" max="7937" width="16" customWidth="1"/>
    <col min="7938" max="7938" width="12.296875" customWidth="1"/>
    <col min="7939" max="7939" width="13.203125" customWidth="1"/>
    <col min="7940" max="7940" width="9.8984375" customWidth="1"/>
    <col min="7941" max="7941" width="14.3984375" customWidth="1"/>
    <col min="7942" max="7942" width="17.296875" customWidth="1"/>
    <col min="7943" max="7944" width="20.703125" customWidth="1"/>
    <col min="8193" max="8193" width="16" customWidth="1"/>
    <col min="8194" max="8194" width="12.296875" customWidth="1"/>
    <col min="8195" max="8195" width="13.203125" customWidth="1"/>
    <col min="8196" max="8196" width="9.8984375" customWidth="1"/>
    <col min="8197" max="8197" width="14.3984375" customWidth="1"/>
    <col min="8198" max="8198" width="17.296875" customWidth="1"/>
    <col min="8199" max="8200" width="20.703125" customWidth="1"/>
    <col min="8449" max="8449" width="16" customWidth="1"/>
    <col min="8450" max="8450" width="12.296875" customWidth="1"/>
    <col min="8451" max="8451" width="13.203125" customWidth="1"/>
    <col min="8452" max="8452" width="9.8984375" customWidth="1"/>
    <col min="8453" max="8453" width="14.3984375" customWidth="1"/>
    <col min="8454" max="8454" width="17.296875" customWidth="1"/>
    <col min="8455" max="8456" width="20.703125" customWidth="1"/>
    <col min="8705" max="8705" width="16" customWidth="1"/>
    <col min="8706" max="8706" width="12.296875" customWidth="1"/>
    <col min="8707" max="8707" width="13.203125" customWidth="1"/>
    <col min="8708" max="8708" width="9.8984375" customWidth="1"/>
    <col min="8709" max="8709" width="14.3984375" customWidth="1"/>
    <col min="8710" max="8710" width="17.296875" customWidth="1"/>
    <col min="8711" max="8712" width="20.703125" customWidth="1"/>
    <col min="8961" max="8961" width="16" customWidth="1"/>
    <col min="8962" max="8962" width="12.296875" customWidth="1"/>
    <col min="8963" max="8963" width="13.203125" customWidth="1"/>
    <col min="8964" max="8964" width="9.8984375" customWidth="1"/>
    <col min="8965" max="8965" width="14.3984375" customWidth="1"/>
    <col min="8966" max="8966" width="17.296875" customWidth="1"/>
    <col min="8967" max="8968" width="20.703125" customWidth="1"/>
    <col min="9217" max="9217" width="16" customWidth="1"/>
    <col min="9218" max="9218" width="12.296875" customWidth="1"/>
    <col min="9219" max="9219" width="13.203125" customWidth="1"/>
    <col min="9220" max="9220" width="9.8984375" customWidth="1"/>
    <col min="9221" max="9221" width="14.3984375" customWidth="1"/>
    <col min="9222" max="9222" width="17.296875" customWidth="1"/>
    <col min="9223" max="9224" width="20.703125" customWidth="1"/>
    <col min="9473" max="9473" width="16" customWidth="1"/>
    <col min="9474" max="9474" width="12.296875" customWidth="1"/>
    <col min="9475" max="9475" width="13.203125" customWidth="1"/>
    <col min="9476" max="9476" width="9.8984375" customWidth="1"/>
    <col min="9477" max="9477" width="14.3984375" customWidth="1"/>
    <col min="9478" max="9478" width="17.296875" customWidth="1"/>
    <col min="9479" max="9480" width="20.703125" customWidth="1"/>
    <col min="9729" max="9729" width="16" customWidth="1"/>
    <col min="9730" max="9730" width="12.296875" customWidth="1"/>
    <col min="9731" max="9731" width="13.203125" customWidth="1"/>
    <col min="9732" max="9732" width="9.8984375" customWidth="1"/>
    <col min="9733" max="9733" width="14.3984375" customWidth="1"/>
    <col min="9734" max="9734" width="17.296875" customWidth="1"/>
    <col min="9735" max="9736" width="20.703125" customWidth="1"/>
    <col min="9985" max="9985" width="16" customWidth="1"/>
    <col min="9986" max="9986" width="12.296875" customWidth="1"/>
    <col min="9987" max="9987" width="13.203125" customWidth="1"/>
    <col min="9988" max="9988" width="9.8984375" customWidth="1"/>
    <col min="9989" max="9989" width="14.3984375" customWidth="1"/>
    <col min="9990" max="9990" width="17.296875" customWidth="1"/>
    <col min="9991" max="9992" width="20.703125" customWidth="1"/>
    <col min="10241" max="10241" width="16" customWidth="1"/>
    <col min="10242" max="10242" width="12.296875" customWidth="1"/>
    <col min="10243" max="10243" width="13.203125" customWidth="1"/>
    <col min="10244" max="10244" width="9.8984375" customWidth="1"/>
    <col min="10245" max="10245" width="14.3984375" customWidth="1"/>
    <col min="10246" max="10246" width="17.296875" customWidth="1"/>
    <col min="10247" max="10248" width="20.703125" customWidth="1"/>
    <col min="10497" max="10497" width="16" customWidth="1"/>
    <col min="10498" max="10498" width="12.296875" customWidth="1"/>
    <col min="10499" max="10499" width="13.203125" customWidth="1"/>
    <col min="10500" max="10500" width="9.8984375" customWidth="1"/>
    <col min="10501" max="10501" width="14.3984375" customWidth="1"/>
    <col min="10502" max="10502" width="17.296875" customWidth="1"/>
    <col min="10503" max="10504" width="20.703125" customWidth="1"/>
    <col min="10753" max="10753" width="16" customWidth="1"/>
    <col min="10754" max="10754" width="12.296875" customWidth="1"/>
    <col min="10755" max="10755" width="13.203125" customWidth="1"/>
    <col min="10756" max="10756" width="9.8984375" customWidth="1"/>
    <col min="10757" max="10757" width="14.3984375" customWidth="1"/>
    <col min="10758" max="10758" width="17.296875" customWidth="1"/>
    <col min="10759" max="10760" width="20.703125" customWidth="1"/>
    <col min="11009" max="11009" width="16" customWidth="1"/>
    <col min="11010" max="11010" width="12.296875" customWidth="1"/>
    <col min="11011" max="11011" width="13.203125" customWidth="1"/>
    <col min="11012" max="11012" width="9.8984375" customWidth="1"/>
    <col min="11013" max="11013" width="14.3984375" customWidth="1"/>
    <col min="11014" max="11014" width="17.296875" customWidth="1"/>
    <col min="11015" max="11016" width="20.703125" customWidth="1"/>
    <col min="11265" max="11265" width="16" customWidth="1"/>
    <col min="11266" max="11266" width="12.296875" customWidth="1"/>
    <col min="11267" max="11267" width="13.203125" customWidth="1"/>
    <col min="11268" max="11268" width="9.8984375" customWidth="1"/>
    <col min="11269" max="11269" width="14.3984375" customWidth="1"/>
    <col min="11270" max="11270" width="17.296875" customWidth="1"/>
    <col min="11271" max="11272" width="20.703125" customWidth="1"/>
    <col min="11521" max="11521" width="16" customWidth="1"/>
    <col min="11522" max="11522" width="12.296875" customWidth="1"/>
    <col min="11523" max="11523" width="13.203125" customWidth="1"/>
    <col min="11524" max="11524" width="9.8984375" customWidth="1"/>
    <col min="11525" max="11525" width="14.3984375" customWidth="1"/>
    <col min="11526" max="11526" width="17.296875" customWidth="1"/>
    <col min="11527" max="11528" width="20.703125" customWidth="1"/>
    <col min="11777" max="11777" width="16" customWidth="1"/>
    <col min="11778" max="11778" width="12.296875" customWidth="1"/>
    <col min="11779" max="11779" width="13.203125" customWidth="1"/>
    <col min="11780" max="11780" width="9.8984375" customWidth="1"/>
    <col min="11781" max="11781" width="14.3984375" customWidth="1"/>
    <col min="11782" max="11782" width="17.296875" customWidth="1"/>
    <col min="11783" max="11784" width="20.703125" customWidth="1"/>
    <col min="12033" max="12033" width="16" customWidth="1"/>
    <col min="12034" max="12034" width="12.296875" customWidth="1"/>
    <col min="12035" max="12035" width="13.203125" customWidth="1"/>
    <col min="12036" max="12036" width="9.8984375" customWidth="1"/>
    <col min="12037" max="12037" width="14.3984375" customWidth="1"/>
    <col min="12038" max="12038" width="17.296875" customWidth="1"/>
    <col min="12039" max="12040" width="20.703125" customWidth="1"/>
    <col min="12289" max="12289" width="16" customWidth="1"/>
    <col min="12290" max="12290" width="12.296875" customWidth="1"/>
    <col min="12291" max="12291" width="13.203125" customWidth="1"/>
    <col min="12292" max="12292" width="9.8984375" customWidth="1"/>
    <col min="12293" max="12293" width="14.3984375" customWidth="1"/>
    <col min="12294" max="12294" width="17.296875" customWidth="1"/>
    <col min="12295" max="12296" width="20.703125" customWidth="1"/>
    <col min="12545" max="12545" width="16" customWidth="1"/>
    <col min="12546" max="12546" width="12.296875" customWidth="1"/>
    <col min="12547" max="12547" width="13.203125" customWidth="1"/>
    <col min="12548" max="12548" width="9.8984375" customWidth="1"/>
    <col min="12549" max="12549" width="14.3984375" customWidth="1"/>
    <col min="12550" max="12550" width="17.296875" customWidth="1"/>
    <col min="12551" max="12552" width="20.703125" customWidth="1"/>
    <col min="12801" max="12801" width="16" customWidth="1"/>
    <col min="12802" max="12802" width="12.296875" customWidth="1"/>
    <col min="12803" max="12803" width="13.203125" customWidth="1"/>
    <col min="12804" max="12804" width="9.8984375" customWidth="1"/>
    <col min="12805" max="12805" width="14.3984375" customWidth="1"/>
    <col min="12806" max="12806" width="17.296875" customWidth="1"/>
    <col min="12807" max="12808" width="20.703125" customWidth="1"/>
    <col min="13057" max="13057" width="16" customWidth="1"/>
    <col min="13058" max="13058" width="12.296875" customWidth="1"/>
    <col min="13059" max="13059" width="13.203125" customWidth="1"/>
    <col min="13060" max="13060" width="9.8984375" customWidth="1"/>
    <col min="13061" max="13061" width="14.3984375" customWidth="1"/>
    <col min="13062" max="13062" width="17.296875" customWidth="1"/>
    <col min="13063" max="13064" width="20.703125" customWidth="1"/>
    <col min="13313" max="13313" width="16" customWidth="1"/>
    <col min="13314" max="13314" width="12.296875" customWidth="1"/>
    <col min="13315" max="13315" width="13.203125" customWidth="1"/>
    <col min="13316" max="13316" width="9.8984375" customWidth="1"/>
    <col min="13317" max="13317" width="14.3984375" customWidth="1"/>
    <col min="13318" max="13318" width="17.296875" customWidth="1"/>
    <col min="13319" max="13320" width="20.703125" customWidth="1"/>
    <col min="13569" max="13569" width="16" customWidth="1"/>
    <col min="13570" max="13570" width="12.296875" customWidth="1"/>
    <col min="13571" max="13571" width="13.203125" customWidth="1"/>
    <col min="13572" max="13572" width="9.8984375" customWidth="1"/>
    <col min="13573" max="13573" width="14.3984375" customWidth="1"/>
    <col min="13574" max="13574" width="17.296875" customWidth="1"/>
    <col min="13575" max="13576" width="20.703125" customWidth="1"/>
    <col min="13825" max="13825" width="16" customWidth="1"/>
    <col min="13826" max="13826" width="12.296875" customWidth="1"/>
    <col min="13827" max="13827" width="13.203125" customWidth="1"/>
    <col min="13828" max="13828" width="9.8984375" customWidth="1"/>
    <col min="13829" max="13829" width="14.3984375" customWidth="1"/>
    <col min="13830" max="13830" width="17.296875" customWidth="1"/>
    <col min="13831" max="13832" width="20.703125" customWidth="1"/>
    <col min="14081" max="14081" width="16" customWidth="1"/>
    <col min="14082" max="14082" width="12.296875" customWidth="1"/>
    <col min="14083" max="14083" width="13.203125" customWidth="1"/>
    <col min="14084" max="14084" width="9.8984375" customWidth="1"/>
    <col min="14085" max="14085" width="14.3984375" customWidth="1"/>
    <col min="14086" max="14086" width="17.296875" customWidth="1"/>
    <col min="14087" max="14088" width="20.703125" customWidth="1"/>
    <col min="14337" max="14337" width="16" customWidth="1"/>
    <col min="14338" max="14338" width="12.296875" customWidth="1"/>
    <col min="14339" max="14339" width="13.203125" customWidth="1"/>
    <col min="14340" max="14340" width="9.8984375" customWidth="1"/>
    <col min="14341" max="14341" width="14.3984375" customWidth="1"/>
    <col min="14342" max="14342" width="17.296875" customWidth="1"/>
    <col min="14343" max="14344" width="20.703125" customWidth="1"/>
    <col min="14593" max="14593" width="16" customWidth="1"/>
    <col min="14594" max="14594" width="12.296875" customWidth="1"/>
    <col min="14595" max="14595" width="13.203125" customWidth="1"/>
    <col min="14596" max="14596" width="9.8984375" customWidth="1"/>
    <col min="14597" max="14597" width="14.3984375" customWidth="1"/>
    <col min="14598" max="14598" width="17.296875" customWidth="1"/>
    <col min="14599" max="14600" width="20.703125" customWidth="1"/>
    <col min="14849" max="14849" width="16" customWidth="1"/>
    <col min="14850" max="14850" width="12.296875" customWidth="1"/>
    <col min="14851" max="14851" width="13.203125" customWidth="1"/>
    <col min="14852" max="14852" width="9.8984375" customWidth="1"/>
    <col min="14853" max="14853" width="14.3984375" customWidth="1"/>
    <col min="14854" max="14854" width="17.296875" customWidth="1"/>
    <col min="14855" max="14856" width="20.703125" customWidth="1"/>
    <col min="15105" max="15105" width="16" customWidth="1"/>
    <col min="15106" max="15106" width="12.296875" customWidth="1"/>
    <col min="15107" max="15107" width="13.203125" customWidth="1"/>
    <col min="15108" max="15108" width="9.8984375" customWidth="1"/>
    <col min="15109" max="15109" width="14.3984375" customWidth="1"/>
    <col min="15110" max="15110" width="17.296875" customWidth="1"/>
    <col min="15111" max="15112" width="20.703125" customWidth="1"/>
    <col min="15361" max="15361" width="16" customWidth="1"/>
    <col min="15362" max="15362" width="12.296875" customWidth="1"/>
    <col min="15363" max="15363" width="13.203125" customWidth="1"/>
    <col min="15364" max="15364" width="9.8984375" customWidth="1"/>
    <col min="15365" max="15365" width="14.3984375" customWidth="1"/>
    <col min="15366" max="15366" width="17.296875" customWidth="1"/>
    <col min="15367" max="15368" width="20.703125" customWidth="1"/>
    <col min="15617" max="15617" width="16" customWidth="1"/>
    <col min="15618" max="15618" width="12.296875" customWidth="1"/>
    <col min="15619" max="15619" width="13.203125" customWidth="1"/>
    <col min="15620" max="15620" width="9.8984375" customWidth="1"/>
    <col min="15621" max="15621" width="14.3984375" customWidth="1"/>
    <col min="15622" max="15622" width="17.296875" customWidth="1"/>
    <col min="15623" max="15624" width="20.703125" customWidth="1"/>
    <col min="15873" max="15873" width="16" customWidth="1"/>
    <col min="15874" max="15874" width="12.296875" customWidth="1"/>
    <col min="15875" max="15875" width="13.203125" customWidth="1"/>
    <col min="15876" max="15876" width="9.8984375" customWidth="1"/>
    <col min="15877" max="15877" width="14.3984375" customWidth="1"/>
    <col min="15878" max="15878" width="17.296875" customWidth="1"/>
    <col min="15879" max="15880" width="20.703125" customWidth="1"/>
    <col min="16129" max="16129" width="16" customWidth="1"/>
    <col min="16130" max="16130" width="12.296875" customWidth="1"/>
    <col min="16131" max="16131" width="13.203125" customWidth="1"/>
    <col min="16132" max="16132" width="9.8984375" customWidth="1"/>
    <col min="16133" max="16133" width="14.3984375" customWidth="1"/>
    <col min="16134" max="16134" width="17.296875" customWidth="1"/>
    <col min="16135" max="16136" width="20.703125" customWidth="1"/>
  </cols>
  <sheetData>
    <row r="1" spans="1:2">
      <c r="A1" s="16" t="s">
        <v>63</v>
      </c>
      <c r="B1" s="17"/>
    </row>
    <row r="2" ht="81.4" customHeight="1" spans="1:8">
      <c r="A2" s="1" t="s">
        <v>64</v>
      </c>
      <c r="B2" s="1" t="s">
        <v>65</v>
      </c>
      <c r="C2" s="1" t="s">
        <v>66</v>
      </c>
      <c r="D2" s="1" t="s">
        <v>67</v>
      </c>
      <c r="E2" s="1" t="s">
        <v>68</v>
      </c>
      <c r="F2" s="1" t="s">
        <v>69</v>
      </c>
      <c r="G2" s="13" t="s">
        <v>70</v>
      </c>
      <c r="H2" s="13" t="s">
        <v>71</v>
      </c>
    </row>
    <row r="3" spans="1:8">
      <c r="A3" s="18">
        <v>1000</v>
      </c>
      <c r="B3" s="5">
        <f t="shared" ref="B3:B13" si="0">$B$34</f>
        <v>56.9968</v>
      </c>
      <c r="C3" s="5">
        <f t="shared" ref="C3:C13" si="1">$B$35/1000*A3</f>
        <v>170.54</v>
      </c>
      <c r="D3" s="5">
        <f t="shared" ref="D3:D13" si="2">B3+C3</f>
        <v>227.5368</v>
      </c>
      <c r="E3" s="5">
        <f t="shared" ref="E3:E13" si="3">A3*$B$36/1000</f>
        <v>211.656573818182</v>
      </c>
      <c r="F3" s="5">
        <f t="shared" ref="F3:F13" si="4">E3-D3</f>
        <v>-15.8802261818182</v>
      </c>
      <c r="G3" s="5">
        <f t="shared" ref="G3:G13" si="5">E3-$E$6</f>
        <v>-81.7469441876287</v>
      </c>
      <c r="H3" s="5">
        <f t="shared" ref="H3:H13" si="6">G3/E3*100</f>
        <v>-38.6224451775598</v>
      </c>
    </row>
    <row r="4" spans="1:8">
      <c r="A4" s="18">
        <v>1100</v>
      </c>
      <c r="B4" s="5">
        <f t="shared" si="0"/>
        <v>56.9968</v>
      </c>
      <c r="C4" s="5">
        <f t="shared" si="1"/>
        <v>187.594</v>
      </c>
      <c r="D4" s="5">
        <f t="shared" si="2"/>
        <v>244.5908</v>
      </c>
      <c r="E4" s="5">
        <f t="shared" si="3"/>
        <v>232.8222312</v>
      </c>
      <c r="F4" s="5">
        <f t="shared" si="4"/>
        <v>-11.7685688</v>
      </c>
      <c r="G4" s="5">
        <f t="shared" si="5"/>
        <v>-60.5812868058105</v>
      </c>
      <c r="H4" s="5">
        <f t="shared" si="6"/>
        <v>-26.0204047068726</v>
      </c>
    </row>
    <row r="5" spans="1:8">
      <c r="A5" s="18">
        <v>1200</v>
      </c>
      <c r="B5" s="5">
        <f t="shared" si="0"/>
        <v>56.9968</v>
      </c>
      <c r="C5" s="5">
        <f t="shared" si="1"/>
        <v>204.648</v>
      </c>
      <c r="D5" s="5">
        <f t="shared" si="2"/>
        <v>261.6448</v>
      </c>
      <c r="E5" s="5">
        <f t="shared" si="3"/>
        <v>253.987888581818</v>
      </c>
      <c r="F5" s="5">
        <f t="shared" si="4"/>
        <v>-7.65691141818181</v>
      </c>
      <c r="G5" s="5">
        <f t="shared" si="5"/>
        <v>-39.4156294239923</v>
      </c>
      <c r="H5" s="5">
        <f t="shared" si="6"/>
        <v>-15.5187043146332</v>
      </c>
    </row>
    <row r="6" spans="1:8">
      <c r="A6" s="18">
        <f>B33</f>
        <v>1386.2244517756</v>
      </c>
      <c r="B6" s="5">
        <f t="shared" si="0"/>
        <v>56.9968</v>
      </c>
      <c r="C6" s="5">
        <f t="shared" si="1"/>
        <v>236.40671800581</v>
      </c>
      <c r="D6" s="5">
        <f t="shared" si="2"/>
        <v>293.40351800581</v>
      </c>
      <c r="E6" s="5">
        <f t="shared" si="3"/>
        <v>293.40351800581</v>
      </c>
      <c r="F6" s="5">
        <f t="shared" si="4"/>
        <v>0</v>
      </c>
      <c r="G6" s="5">
        <f t="shared" si="5"/>
        <v>0</v>
      </c>
      <c r="H6" s="5">
        <f t="shared" si="6"/>
        <v>0</v>
      </c>
    </row>
    <row r="7" spans="1:8">
      <c r="A7" s="18">
        <v>1500</v>
      </c>
      <c r="B7" s="5">
        <f t="shared" si="0"/>
        <v>56.9968</v>
      </c>
      <c r="C7" s="5">
        <f t="shared" si="1"/>
        <v>255.81</v>
      </c>
      <c r="D7" s="5">
        <f t="shared" si="2"/>
        <v>312.8068</v>
      </c>
      <c r="E7" s="5">
        <f t="shared" si="3"/>
        <v>317.484860727273</v>
      </c>
      <c r="F7" s="5">
        <f t="shared" si="4"/>
        <v>4.67806072727268</v>
      </c>
      <c r="G7" s="5">
        <f t="shared" si="5"/>
        <v>24.0813427214622</v>
      </c>
      <c r="H7" s="5">
        <f t="shared" si="6"/>
        <v>7.58503654829345</v>
      </c>
    </row>
    <row r="8" spans="1:8">
      <c r="A8" s="18">
        <v>3000</v>
      </c>
      <c r="B8" s="5">
        <f t="shared" si="0"/>
        <v>56.9968</v>
      </c>
      <c r="C8" s="5">
        <f t="shared" si="1"/>
        <v>511.62</v>
      </c>
      <c r="D8" s="5">
        <f t="shared" si="2"/>
        <v>568.6168</v>
      </c>
      <c r="E8" s="5">
        <f t="shared" si="3"/>
        <v>634.969721454545</v>
      </c>
      <c r="F8" s="5">
        <f t="shared" si="4"/>
        <v>66.3529214545454</v>
      </c>
      <c r="G8" s="5">
        <f t="shared" si="5"/>
        <v>341.566203448735</v>
      </c>
      <c r="H8" s="5">
        <f t="shared" si="6"/>
        <v>53.7925182741467</v>
      </c>
    </row>
    <row r="9" spans="1:8">
      <c r="A9" s="18">
        <v>4000</v>
      </c>
      <c r="B9" s="5">
        <f t="shared" si="0"/>
        <v>56.9968</v>
      </c>
      <c r="C9" s="5">
        <f t="shared" si="1"/>
        <v>682.16</v>
      </c>
      <c r="D9" s="5">
        <f t="shared" si="2"/>
        <v>739.1568</v>
      </c>
      <c r="E9" s="5">
        <f t="shared" si="3"/>
        <v>846.626295272727</v>
      </c>
      <c r="F9" s="5">
        <f t="shared" si="4"/>
        <v>107.469495272727</v>
      </c>
      <c r="G9" s="5">
        <f t="shared" si="5"/>
        <v>553.222777266917</v>
      </c>
      <c r="H9" s="5">
        <f t="shared" si="6"/>
        <v>65.34438870561</v>
      </c>
    </row>
    <row r="10" spans="1:8">
      <c r="A10" s="4">
        <v>5500</v>
      </c>
      <c r="B10" s="5">
        <f t="shared" si="0"/>
        <v>56.9968</v>
      </c>
      <c r="C10" s="5">
        <f t="shared" si="1"/>
        <v>937.97</v>
      </c>
      <c r="D10" s="5">
        <f t="shared" si="2"/>
        <v>994.9668</v>
      </c>
      <c r="E10" s="5">
        <f t="shared" si="3"/>
        <v>1164.111156</v>
      </c>
      <c r="F10" s="5">
        <f t="shared" si="4"/>
        <v>169.144356</v>
      </c>
      <c r="G10" s="5">
        <f t="shared" si="5"/>
        <v>870.707637994189</v>
      </c>
      <c r="H10" s="5">
        <f t="shared" si="6"/>
        <v>74.7959190586255</v>
      </c>
    </row>
    <row r="11" spans="1:8">
      <c r="A11" s="18">
        <v>6000</v>
      </c>
      <c r="B11" s="5">
        <f t="shared" si="0"/>
        <v>56.9968</v>
      </c>
      <c r="C11" s="5">
        <f t="shared" si="1"/>
        <v>1023.24</v>
      </c>
      <c r="D11" s="5">
        <f t="shared" si="2"/>
        <v>1080.2368</v>
      </c>
      <c r="E11" s="5">
        <f t="shared" si="3"/>
        <v>1269.93944290909</v>
      </c>
      <c r="F11" s="5">
        <f t="shared" si="4"/>
        <v>189.702642909091</v>
      </c>
      <c r="G11" s="5">
        <f t="shared" si="5"/>
        <v>976.53592490328</v>
      </c>
      <c r="H11" s="5">
        <f t="shared" si="6"/>
        <v>76.8962591370734</v>
      </c>
    </row>
    <row r="12" spans="1:8">
      <c r="A12" s="18">
        <v>7000</v>
      </c>
      <c r="B12" s="5">
        <f t="shared" si="0"/>
        <v>56.9968</v>
      </c>
      <c r="C12" s="5">
        <f t="shared" si="1"/>
        <v>1193.78</v>
      </c>
      <c r="D12" s="5">
        <f t="shared" si="2"/>
        <v>1250.7768</v>
      </c>
      <c r="E12" s="5">
        <f t="shared" si="3"/>
        <v>1481.59601672727</v>
      </c>
      <c r="F12" s="5">
        <f t="shared" si="4"/>
        <v>230.819216727273</v>
      </c>
      <c r="G12" s="5">
        <f t="shared" si="5"/>
        <v>1188.19249872146</v>
      </c>
      <c r="H12" s="5">
        <f t="shared" si="6"/>
        <v>80.1967935460629</v>
      </c>
    </row>
    <row r="13" spans="1:8">
      <c r="A13" s="19">
        <v>8000</v>
      </c>
      <c r="B13" s="20">
        <f t="shared" si="0"/>
        <v>56.9968</v>
      </c>
      <c r="C13" s="20">
        <f t="shared" si="1"/>
        <v>1364.32</v>
      </c>
      <c r="D13" s="20">
        <f t="shared" si="2"/>
        <v>1421.3168</v>
      </c>
      <c r="E13" s="20">
        <f t="shared" si="3"/>
        <v>1693.25259054545</v>
      </c>
      <c r="F13" s="20">
        <f t="shared" si="4"/>
        <v>271.935790545455</v>
      </c>
      <c r="G13" s="20">
        <f t="shared" si="5"/>
        <v>1399.84907253964</v>
      </c>
      <c r="H13" s="20">
        <f t="shared" si="6"/>
        <v>82.672194352805</v>
      </c>
    </row>
    <row r="14" spans="1:8">
      <c r="A14" s="4"/>
      <c r="B14" s="4"/>
      <c r="C14" s="21"/>
      <c r="D14" s="21"/>
      <c r="E14" s="21"/>
      <c r="F14" s="21"/>
      <c r="G14" s="21"/>
      <c r="H14" s="21"/>
    </row>
    <row r="15" spans="1:8">
      <c r="A15" s="4"/>
      <c r="B15" s="4"/>
      <c r="C15" s="21"/>
      <c r="D15" s="21"/>
      <c r="E15" s="21"/>
      <c r="F15" s="21"/>
      <c r="G15" s="21"/>
      <c r="H15" s="21"/>
    </row>
    <row r="16" spans="1:8">
      <c r="A16" s="4"/>
      <c r="B16" s="4"/>
      <c r="C16" s="21"/>
      <c r="D16" s="21"/>
      <c r="E16" s="21"/>
      <c r="F16" s="21"/>
      <c r="G16" s="21"/>
      <c r="H16" s="21"/>
    </row>
    <row r="17" spans="1:8">
      <c r="A17" s="4"/>
      <c r="B17" s="4"/>
      <c r="C17" s="21"/>
      <c r="D17" s="21"/>
      <c r="E17" s="21"/>
      <c r="F17" s="21"/>
      <c r="G17" s="21"/>
      <c r="H17" s="21"/>
    </row>
    <row r="18" spans="1:8">
      <c r="A18" s="19"/>
      <c r="B18" s="19"/>
      <c r="C18" s="22"/>
      <c r="D18" s="22"/>
      <c r="E18" s="22"/>
      <c r="F18" s="22"/>
      <c r="G18" s="25"/>
      <c r="H18" s="25"/>
    </row>
    <row r="19" spans="1:8">
      <c r="A19" s="4"/>
      <c r="B19" s="4"/>
      <c r="C19" s="21"/>
      <c r="D19" s="21"/>
      <c r="E19" s="21"/>
      <c r="F19" s="21"/>
      <c r="G19" s="21"/>
      <c r="H19" s="21"/>
    </row>
    <row r="20" spans="1:8">
      <c r="A20" s="4"/>
      <c r="B20" s="4"/>
      <c r="C20" s="21"/>
      <c r="D20" s="21"/>
      <c r="E20" s="21"/>
      <c r="F20" s="21"/>
      <c r="G20" s="21"/>
      <c r="H20" s="21"/>
    </row>
    <row r="21" spans="1:8">
      <c r="A21" s="4"/>
      <c r="B21" s="4"/>
      <c r="C21" s="21"/>
      <c r="D21" s="21"/>
      <c r="E21" s="21"/>
      <c r="F21" s="21"/>
      <c r="G21" s="21"/>
      <c r="H21" s="21"/>
    </row>
    <row r="22" spans="1:8">
      <c r="A22" s="4"/>
      <c r="B22" s="4"/>
      <c r="C22" s="21"/>
      <c r="D22" s="21"/>
      <c r="E22" s="21"/>
      <c r="F22" s="21"/>
      <c r="G22" s="21"/>
      <c r="H22" s="21"/>
    </row>
    <row r="23" spans="1:8">
      <c r="A23" s="4"/>
      <c r="B23" s="4"/>
      <c r="C23" s="21"/>
      <c r="D23" s="21"/>
      <c r="E23" s="21"/>
      <c r="F23" s="21"/>
      <c r="G23" s="21"/>
      <c r="H23" s="21"/>
    </row>
    <row r="24" spans="1:8">
      <c r="A24" s="4"/>
      <c r="B24" s="4"/>
      <c r="C24" s="21"/>
      <c r="D24" s="21"/>
      <c r="E24" s="21"/>
      <c r="F24" s="21"/>
      <c r="G24" s="21"/>
      <c r="H24" s="21"/>
    </row>
    <row r="25" spans="1:8">
      <c r="A25" s="4"/>
      <c r="B25" s="4"/>
      <c r="C25" s="21"/>
      <c r="D25" s="21"/>
      <c r="E25" s="21"/>
      <c r="F25" s="21"/>
      <c r="G25" s="21"/>
      <c r="H25" s="21"/>
    </row>
    <row r="26" spans="1:8">
      <c r="A26" s="4"/>
      <c r="B26" s="4"/>
      <c r="C26" s="21"/>
      <c r="D26" s="21"/>
      <c r="E26" s="21"/>
      <c r="F26" s="21"/>
      <c r="G26" s="21"/>
      <c r="H26" s="21"/>
    </row>
    <row r="27" spans="1:8">
      <c r="A27" s="4"/>
      <c r="B27" s="4"/>
      <c r="C27" s="21"/>
      <c r="D27" s="21"/>
      <c r="E27" s="21"/>
      <c r="F27" s="21"/>
      <c r="G27" s="21"/>
      <c r="H27" s="21"/>
    </row>
    <row r="28" spans="1:8">
      <c r="A28" s="4"/>
      <c r="B28" s="4"/>
      <c r="C28" s="21"/>
      <c r="D28" s="21"/>
      <c r="E28" s="21"/>
      <c r="F28" s="21"/>
      <c r="G28" s="21"/>
      <c r="H28" s="21"/>
    </row>
    <row r="29" spans="1:8">
      <c r="A29" s="4"/>
      <c r="B29" s="4"/>
      <c r="C29" s="21"/>
      <c r="D29" s="21"/>
      <c r="E29" s="21"/>
      <c r="F29" s="21"/>
      <c r="G29" s="21"/>
      <c r="H29" s="21"/>
    </row>
    <row r="31" spans="1:4">
      <c r="A31" s="16" t="s">
        <v>63</v>
      </c>
      <c r="B31" s="16"/>
      <c r="C31" s="23"/>
      <c r="D31" s="23"/>
    </row>
    <row r="32" spans="1:5">
      <c r="A32" s="24" t="s">
        <v>72</v>
      </c>
      <c r="B32" s="24"/>
      <c r="C32" s="24"/>
      <c r="D32" s="24"/>
      <c r="E32" s="17"/>
    </row>
    <row r="33" ht="17.6" customHeight="1" spans="1:2">
      <c r="A33" s="11" t="s">
        <v>73</v>
      </c>
      <c r="B33" s="9">
        <f>B34*1000/(B36-B35)</f>
        <v>1386.2244517756</v>
      </c>
    </row>
    <row r="34" ht="17.6" customHeight="1" spans="1:2">
      <c r="A34" s="11" t="s">
        <v>65</v>
      </c>
      <c r="B34" s="9">
        <f>(5000+4680+4680*26%+17150+2050+13000+1900+12000)/1000</f>
        <v>56.9968</v>
      </c>
    </row>
    <row r="35" ht="17.6" customHeight="1" spans="1:2">
      <c r="A35" s="11" t="s">
        <v>74</v>
      </c>
      <c r="B35" s="9">
        <f>(((37*5500+360*0.36*5500+5000)+(4500+4680)+(4500+4680)*26%+17150+(2050+13000+1900+12000+16000))-((5000+4680+4680*26%+17150+2050+13000+1900+12000)))/5500</f>
        <v>170.54</v>
      </c>
    </row>
    <row r="36" ht="17.6" customHeight="1" spans="1:2">
      <c r="A36" s="11" t="s">
        <v>75</v>
      </c>
      <c r="B36" s="9">
        <f>((((37*5500+360*0.36*5500+5000)+(4500+4680)+(4500+4680)*26%+17150+(2050+13000+1900+12000+16000)))/5500)*(1+17%)</f>
        <v>211.656573818182</v>
      </c>
    </row>
    <row r="37" ht="17.6" customHeight="1" spans="1:2">
      <c r="A37" s="11" t="s">
        <v>76</v>
      </c>
      <c r="B37" s="10">
        <f>5500</f>
        <v>5500</v>
      </c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A1" sqref="A1"/>
    </sheetView>
  </sheetViews>
  <sheetFormatPr defaultColWidth="9" defaultRowHeight="16.8" outlineLevelCol="7"/>
  <cols>
    <col min="1" max="1" width="14.6015625" customWidth="1"/>
    <col min="2" max="2" width="15.6015625" customWidth="1"/>
    <col min="3" max="3" width="13" customWidth="1"/>
    <col min="4" max="4" width="15.8984375" customWidth="1"/>
    <col min="5" max="5" width="18.5" customWidth="1"/>
    <col min="6" max="6" width="15.8984375" customWidth="1"/>
    <col min="7" max="7" width="19.3984375" customWidth="1"/>
    <col min="8" max="8" width="27.3984375" customWidth="1"/>
  </cols>
  <sheetData>
    <row r="1" ht="58" customHeight="1" spans="1:8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3" t="s">
        <v>70</v>
      </c>
      <c r="H1" s="13" t="s">
        <v>71</v>
      </c>
    </row>
    <row r="2" ht="84" customHeight="1" spans="1:8">
      <c r="A2" s="2" t="s">
        <v>77</v>
      </c>
      <c r="B2" s="3" t="s">
        <v>78</v>
      </c>
      <c r="C2" s="2" t="s">
        <v>79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</row>
    <row r="3" spans="1:8">
      <c r="A3" s="4">
        <v>2000</v>
      </c>
      <c r="B3" s="5"/>
      <c r="C3" s="5"/>
      <c r="D3" s="5"/>
      <c r="E3" s="5"/>
      <c r="F3" s="5"/>
      <c r="G3" s="5"/>
      <c r="H3" s="5"/>
    </row>
    <row r="4" spans="1:8">
      <c r="A4" s="4">
        <v>2200</v>
      </c>
      <c r="B4" s="5"/>
      <c r="C4" s="5"/>
      <c r="D4" s="5"/>
      <c r="E4" s="5"/>
      <c r="F4" s="5"/>
      <c r="G4" s="5"/>
      <c r="H4" s="5"/>
    </row>
    <row r="5" spans="1:8">
      <c r="A5" s="4">
        <v>2500</v>
      </c>
      <c r="B5" s="5"/>
      <c r="C5" s="5"/>
      <c r="D5" s="5"/>
      <c r="E5" s="5"/>
      <c r="F5" s="5"/>
      <c r="G5" s="5"/>
      <c r="H5" s="5"/>
    </row>
    <row r="6" spans="1:8">
      <c r="A6" s="6"/>
      <c r="B6" s="5"/>
      <c r="C6" s="5"/>
      <c r="D6" s="5"/>
      <c r="E6" s="5"/>
      <c r="F6" s="5"/>
      <c r="G6" s="5"/>
      <c r="H6" s="5"/>
    </row>
    <row r="7" spans="1:8">
      <c r="A7" s="4">
        <v>3000</v>
      </c>
      <c r="B7" s="5"/>
      <c r="C7" s="5"/>
      <c r="D7" s="5"/>
      <c r="E7" s="5"/>
      <c r="F7" s="5"/>
      <c r="G7" s="5"/>
      <c r="H7" s="5"/>
    </row>
    <row r="8" spans="1:8">
      <c r="A8" s="4">
        <v>3500</v>
      </c>
      <c r="B8" s="5"/>
      <c r="C8" s="5"/>
      <c r="D8" s="5"/>
      <c r="E8" s="5"/>
      <c r="F8" s="5"/>
      <c r="G8" s="5"/>
      <c r="H8" s="5"/>
    </row>
    <row r="9" spans="1:8">
      <c r="A9" s="4">
        <v>4000</v>
      </c>
      <c r="B9" s="5"/>
      <c r="C9" s="5"/>
      <c r="D9" s="5"/>
      <c r="E9" s="5"/>
      <c r="F9" s="5"/>
      <c r="G9" s="5"/>
      <c r="H9" s="5"/>
    </row>
    <row r="10" spans="1:8">
      <c r="A10" s="7">
        <v>4800</v>
      </c>
      <c r="B10" s="5"/>
      <c r="C10" s="5"/>
      <c r="D10" s="5"/>
      <c r="E10" s="5"/>
      <c r="F10" s="5"/>
      <c r="G10" s="5"/>
      <c r="H10" s="5"/>
    </row>
    <row r="11" spans="1:8">
      <c r="A11" s="4">
        <v>5000</v>
      </c>
      <c r="B11" s="5"/>
      <c r="C11" s="5"/>
      <c r="D11" s="5"/>
      <c r="E11" s="5"/>
      <c r="F11" s="5"/>
      <c r="G11" s="5"/>
      <c r="H11" s="5"/>
    </row>
    <row r="12" spans="1:8">
      <c r="A12" s="4">
        <v>5200</v>
      </c>
      <c r="B12" s="5"/>
      <c r="C12" s="5"/>
      <c r="D12" s="5"/>
      <c r="E12" s="5"/>
      <c r="F12" s="5"/>
      <c r="G12" s="5"/>
      <c r="H12" s="5"/>
    </row>
    <row r="13" spans="1:8">
      <c r="A13" s="4">
        <v>6000</v>
      </c>
      <c r="B13" s="5"/>
      <c r="C13" s="5"/>
      <c r="D13" s="5"/>
      <c r="E13" s="5"/>
      <c r="F13" s="5"/>
      <c r="G13" s="5"/>
      <c r="H13" s="5"/>
    </row>
    <row r="15" ht="84" customHeight="1" spans="1:2">
      <c r="A15" s="8" t="s">
        <v>85</v>
      </c>
      <c r="B15" s="11"/>
    </row>
    <row r="16" ht="17.6" customHeight="1" spans="1:2">
      <c r="A16" s="8" t="s">
        <v>86</v>
      </c>
      <c r="B16" s="11"/>
    </row>
    <row r="17" ht="34" customHeight="1" spans="1:2">
      <c r="A17" s="8" t="s">
        <v>87</v>
      </c>
      <c r="B17" s="11"/>
    </row>
    <row r="18" ht="17.6" customHeight="1" spans="1:2">
      <c r="A18" s="12" t="s">
        <v>88</v>
      </c>
      <c r="B18" s="11"/>
    </row>
    <row r="19" ht="68" customHeight="1" spans="1:2">
      <c r="A19" s="8" t="s">
        <v>89</v>
      </c>
      <c r="B19" s="11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A1" sqref="A1"/>
    </sheetView>
  </sheetViews>
  <sheetFormatPr defaultColWidth="9" defaultRowHeight="16.8" outlineLevelCol="7"/>
  <cols>
    <col min="1" max="1" width="14.6015625" customWidth="1"/>
    <col min="2" max="2" width="15.6015625" customWidth="1"/>
    <col min="3" max="3" width="13" customWidth="1"/>
    <col min="4" max="4" width="15.8984375" customWidth="1"/>
    <col min="5" max="5" width="18.5" customWidth="1"/>
    <col min="6" max="6" width="15.8984375" customWidth="1"/>
    <col min="7" max="7" width="19.3984375" customWidth="1"/>
    <col min="8" max="8" width="27.3984375" customWidth="1"/>
  </cols>
  <sheetData>
    <row r="1" ht="58" customHeight="1" spans="1:8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3" t="s">
        <v>70</v>
      </c>
      <c r="H1" s="13" t="s">
        <v>71</v>
      </c>
    </row>
    <row r="2" ht="84" customHeight="1" spans="1:8">
      <c r="A2" s="2" t="s">
        <v>77</v>
      </c>
      <c r="B2" s="3" t="s">
        <v>78</v>
      </c>
      <c r="C2" s="2" t="s">
        <v>79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</row>
    <row r="3" spans="1:8">
      <c r="A3" s="4">
        <v>2000</v>
      </c>
      <c r="B3" s="5"/>
      <c r="C3" s="5"/>
      <c r="D3" s="5"/>
      <c r="E3" s="5"/>
      <c r="F3" s="5"/>
      <c r="G3" s="5"/>
      <c r="H3" s="5"/>
    </row>
    <row r="4" spans="1:8">
      <c r="A4" s="4">
        <v>2500</v>
      </c>
      <c r="B4" s="5"/>
      <c r="C4" s="5"/>
      <c r="D4" s="5"/>
      <c r="E4" s="5"/>
      <c r="F4" s="5"/>
      <c r="G4" s="5"/>
      <c r="H4" s="5"/>
    </row>
    <row r="5" spans="1:8">
      <c r="A5" s="4">
        <v>3000</v>
      </c>
      <c r="B5" s="5"/>
      <c r="C5" s="5"/>
      <c r="D5" s="5"/>
      <c r="E5" s="5"/>
      <c r="F5" s="5"/>
      <c r="G5" s="5"/>
      <c r="H5" s="5"/>
    </row>
    <row r="6" spans="1:8">
      <c r="A6" s="6"/>
      <c r="B6" s="5"/>
      <c r="C6" s="5"/>
      <c r="D6" s="5"/>
      <c r="E6" s="5"/>
      <c r="F6" s="5"/>
      <c r="G6" s="5"/>
      <c r="H6" s="5"/>
    </row>
    <row r="7" spans="1:8">
      <c r="A7" s="4">
        <v>4200</v>
      </c>
      <c r="B7" s="5"/>
      <c r="C7" s="5"/>
      <c r="D7" s="5"/>
      <c r="E7" s="5"/>
      <c r="F7" s="5"/>
      <c r="G7" s="5"/>
      <c r="H7" s="5"/>
    </row>
    <row r="8" spans="1:8">
      <c r="A8" s="4">
        <v>5000</v>
      </c>
      <c r="B8" s="5"/>
      <c r="C8" s="5"/>
      <c r="D8" s="5"/>
      <c r="E8" s="5"/>
      <c r="F8" s="5"/>
      <c r="G8" s="5"/>
      <c r="H8" s="5"/>
    </row>
    <row r="9" spans="1:8">
      <c r="A9" s="4">
        <v>5500</v>
      </c>
      <c r="B9" s="5"/>
      <c r="C9" s="5"/>
      <c r="D9" s="5"/>
      <c r="E9" s="5"/>
      <c r="F9" s="5"/>
      <c r="G9" s="5"/>
      <c r="H9" s="5"/>
    </row>
    <row r="10" spans="1:8">
      <c r="A10" s="7">
        <v>6000</v>
      </c>
      <c r="B10" s="5"/>
      <c r="C10" s="5"/>
      <c r="D10" s="5"/>
      <c r="E10" s="5"/>
      <c r="F10" s="5"/>
      <c r="G10" s="5"/>
      <c r="H10" s="5"/>
    </row>
    <row r="11" spans="1:8">
      <c r="A11" s="4">
        <v>6500</v>
      </c>
      <c r="B11" s="5"/>
      <c r="C11" s="5"/>
      <c r="D11" s="5"/>
      <c r="E11" s="5"/>
      <c r="F11" s="5"/>
      <c r="G11" s="5"/>
      <c r="H11" s="5"/>
    </row>
    <row r="12" spans="1:8">
      <c r="A12" s="4">
        <v>7000</v>
      </c>
      <c r="B12" s="5"/>
      <c r="C12" s="5"/>
      <c r="D12" s="5"/>
      <c r="E12" s="5"/>
      <c r="F12" s="5"/>
      <c r="G12" s="5"/>
      <c r="H12" s="5"/>
    </row>
    <row r="13" spans="1:8">
      <c r="A13" s="4">
        <v>7500</v>
      </c>
      <c r="B13" s="5"/>
      <c r="C13" s="5"/>
      <c r="D13" s="5"/>
      <c r="E13" s="5"/>
      <c r="F13" s="5"/>
      <c r="G13" s="5"/>
      <c r="H13" s="5"/>
    </row>
    <row r="15" ht="84" customHeight="1" spans="1:2">
      <c r="A15" s="8" t="s">
        <v>85</v>
      </c>
      <c r="B15" s="11"/>
    </row>
    <row r="16" ht="17.6" customHeight="1" spans="1:2">
      <c r="A16" s="8" t="s">
        <v>86</v>
      </c>
      <c r="B16" s="11"/>
    </row>
    <row r="17" ht="34" customHeight="1" spans="1:2">
      <c r="A17" s="8" t="s">
        <v>87</v>
      </c>
      <c r="B17" s="11"/>
    </row>
    <row r="18" ht="17.6" customHeight="1" spans="1:2">
      <c r="A18" s="12" t="s">
        <v>88</v>
      </c>
      <c r="B18" s="11"/>
    </row>
    <row r="19" ht="68" customHeight="1" spans="1:2">
      <c r="A19" s="8" t="s">
        <v>89</v>
      </c>
      <c r="B19" s="11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A1" sqref="A1"/>
    </sheetView>
  </sheetViews>
  <sheetFormatPr defaultColWidth="9" defaultRowHeight="16.8" outlineLevelCol="7"/>
  <cols>
    <col min="1" max="1" width="14.6015625" customWidth="1"/>
    <col min="2" max="2" width="15.6015625" customWidth="1"/>
    <col min="3" max="3" width="13" customWidth="1"/>
    <col min="4" max="4" width="15.8984375" customWidth="1"/>
    <col min="5" max="5" width="18.5" customWidth="1"/>
    <col min="6" max="6" width="15.8984375" customWidth="1"/>
    <col min="7" max="7" width="19.3984375" customWidth="1"/>
    <col min="8" max="8" width="27.3984375" customWidth="1"/>
  </cols>
  <sheetData>
    <row r="1" ht="58" customHeight="1" spans="1:8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3" t="s">
        <v>70</v>
      </c>
      <c r="H1" s="13" t="s">
        <v>71</v>
      </c>
    </row>
    <row r="2" ht="84" customHeight="1" spans="1:8">
      <c r="A2" s="2" t="s">
        <v>77</v>
      </c>
      <c r="B2" s="3" t="s">
        <v>78</v>
      </c>
      <c r="C2" s="2" t="s">
        <v>79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</row>
    <row r="3" spans="1:8">
      <c r="A3" s="4">
        <v>2000</v>
      </c>
      <c r="B3" s="5"/>
      <c r="C3" s="5"/>
      <c r="D3" s="5"/>
      <c r="E3" s="5"/>
      <c r="F3" s="5"/>
      <c r="G3" s="5"/>
      <c r="H3" s="5"/>
    </row>
    <row r="4" spans="1:8">
      <c r="A4" s="4">
        <v>2500</v>
      </c>
      <c r="B4" s="5"/>
      <c r="C4" s="5"/>
      <c r="D4" s="5"/>
      <c r="E4" s="5"/>
      <c r="F4" s="5"/>
      <c r="G4" s="5"/>
      <c r="H4" s="5"/>
    </row>
    <row r="5" spans="1:8">
      <c r="A5" s="4">
        <v>3000</v>
      </c>
      <c r="B5" s="5"/>
      <c r="C5" s="5"/>
      <c r="D5" s="5"/>
      <c r="E5" s="5"/>
      <c r="F5" s="5"/>
      <c r="G5" s="5"/>
      <c r="H5" s="5"/>
    </row>
    <row r="6" spans="1:8">
      <c r="A6" s="6"/>
      <c r="B6" s="5"/>
      <c r="C6" s="5"/>
      <c r="D6" s="5"/>
      <c r="E6" s="5"/>
      <c r="F6" s="5"/>
      <c r="G6" s="5"/>
      <c r="H6" s="5"/>
    </row>
    <row r="7" spans="1:8">
      <c r="A7" s="4">
        <v>4000</v>
      </c>
      <c r="B7" s="5"/>
      <c r="C7" s="5"/>
      <c r="D7" s="5"/>
      <c r="E7" s="5"/>
      <c r="F7" s="5"/>
      <c r="G7" s="5"/>
      <c r="H7" s="5"/>
    </row>
    <row r="8" spans="1:8">
      <c r="A8" s="4">
        <v>4500</v>
      </c>
      <c r="B8" s="5"/>
      <c r="C8" s="5"/>
      <c r="D8" s="5"/>
      <c r="E8" s="5"/>
      <c r="F8" s="5"/>
      <c r="G8" s="5"/>
      <c r="H8" s="5"/>
    </row>
    <row r="9" spans="1:8">
      <c r="A9" s="4">
        <v>5000</v>
      </c>
      <c r="B9" s="5"/>
      <c r="C9" s="5"/>
      <c r="D9" s="5"/>
      <c r="E9" s="5"/>
      <c r="F9" s="5"/>
      <c r="G9" s="5"/>
      <c r="H9" s="5"/>
    </row>
    <row r="10" spans="1:8">
      <c r="A10" s="7">
        <v>7200</v>
      </c>
      <c r="B10" s="5"/>
      <c r="C10" s="5"/>
      <c r="D10" s="5"/>
      <c r="E10" s="5"/>
      <c r="F10" s="5"/>
      <c r="G10" s="5"/>
      <c r="H10" s="5"/>
    </row>
    <row r="11" spans="1:8">
      <c r="A11" s="4">
        <v>8000</v>
      </c>
      <c r="B11" s="5"/>
      <c r="C11" s="5"/>
      <c r="D11" s="5"/>
      <c r="E11" s="5"/>
      <c r="F11" s="5"/>
      <c r="G11" s="5"/>
      <c r="H11" s="5"/>
    </row>
    <row r="12" spans="1:8">
      <c r="A12" s="4">
        <v>8500</v>
      </c>
      <c r="B12" s="5"/>
      <c r="C12" s="5"/>
      <c r="D12" s="5"/>
      <c r="E12" s="5"/>
      <c r="F12" s="5"/>
      <c r="G12" s="5"/>
      <c r="H12" s="5"/>
    </row>
    <row r="13" spans="1:8">
      <c r="A13" s="4">
        <v>9000</v>
      </c>
      <c r="B13" s="5"/>
      <c r="C13" s="5"/>
      <c r="D13" s="5"/>
      <c r="E13" s="5"/>
      <c r="F13" s="5"/>
      <c r="G13" s="5"/>
      <c r="H13" s="5"/>
    </row>
    <row r="15" ht="84" customHeight="1" spans="1:2">
      <c r="A15" s="8" t="s">
        <v>85</v>
      </c>
      <c r="B15" s="11"/>
    </row>
    <row r="16" ht="17.6" customHeight="1" spans="1:2">
      <c r="A16" s="8" t="s">
        <v>90</v>
      </c>
      <c r="B16" s="11"/>
    </row>
    <row r="17" ht="34" customHeight="1" spans="1:2">
      <c r="A17" s="8" t="s">
        <v>87</v>
      </c>
      <c r="B17" s="11"/>
    </row>
    <row r="18" ht="17.6" customHeight="1" spans="1:2">
      <c r="A18" s="12" t="s">
        <v>88</v>
      </c>
      <c r="B18" s="11"/>
    </row>
    <row r="19" ht="68" customHeight="1" spans="1:2">
      <c r="A19" s="8" t="s">
        <v>89</v>
      </c>
      <c r="B19" s="11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A1" sqref="A1"/>
    </sheetView>
  </sheetViews>
  <sheetFormatPr defaultColWidth="9" defaultRowHeight="16.8" outlineLevelCol="7"/>
  <cols>
    <col min="1" max="1" width="14.6015625" customWidth="1"/>
    <col min="2" max="2" width="15.6015625" customWidth="1"/>
    <col min="3" max="3" width="13" customWidth="1"/>
    <col min="4" max="4" width="15.8984375" customWidth="1"/>
    <col min="5" max="5" width="18.5" customWidth="1"/>
    <col min="6" max="6" width="15.8984375" customWidth="1"/>
    <col min="7" max="7" width="19.3984375" customWidth="1"/>
    <col min="8" max="8" width="27.3984375" customWidth="1"/>
  </cols>
  <sheetData>
    <row r="1" ht="58" customHeight="1" spans="1:8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3" t="s">
        <v>70</v>
      </c>
      <c r="H1" s="13" t="s">
        <v>71</v>
      </c>
    </row>
    <row r="2" ht="84" customHeight="1" spans="1:8">
      <c r="A2" s="2" t="s">
        <v>77</v>
      </c>
      <c r="B2" s="3" t="s">
        <v>78</v>
      </c>
      <c r="C2" s="2" t="s">
        <v>79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</row>
    <row r="3" spans="1:8">
      <c r="A3" s="4">
        <v>2000</v>
      </c>
      <c r="B3" s="5"/>
      <c r="C3" s="5"/>
      <c r="D3" s="5"/>
      <c r="E3" s="5"/>
      <c r="F3" s="5"/>
      <c r="G3" s="5"/>
      <c r="H3" s="5"/>
    </row>
    <row r="4" spans="1:8">
      <c r="A4" s="4">
        <v>3000</v>
      </c>
      <c r="B4" s="5"/>
      <c r="C4" s="5"/>
      <c r="D4" s="5"/>
      <c r="E4" s="5"/>
      <c r="F4" s="5"/>
      <c r="G4" s="5"/>
      <c r="H4" s="5"/>
    </row>
    <row r="5" spans="1:8">
      <c r="A5" s="4">
        <v>4500</v>
      </c>
      <c r="B5" s="5"/>
      <c r="C5" s="5"/>
      <c r="D5" s="5"/>
      <c r="E5" s="5"/>
      <c r="F5" s="5"/>
      <c r="G5" s="5"/>
      <c r="H5" s="5"/>
    </row>
    <row r="6" spans="1:8">
      <c r="A6" s="6"/>
      <c r="B6" s="5"/>
      <c r="C6" s="5"/>
      <c r="D6" s="5"/>
      <c r="E6" s="5"/>
      <c r="F6" s="5"/>
      <c r="G6" s="5"/>
      <c r="H6" s="5"/>
    </row>
    <row r="7" spans="1:8">
      <c r="A7" s="4">
        <v>6000</v>
      </c>
      <c r="B7" s="5"/>
      <c r="C7" s="5"/>
      <c r="D7" s="5"/>
      <c r="E7" s="5"/>
      <c r="F7" s="5"/>
      <c r="G7" s="5"/>
      <c r="H7" s="5"/>
    </row>
    <row r="8" spans="1:8">
      <c r="A8" s="4">
        <v>10000</v>
      </c>
      <c r="B8" s="5"/>
      <c r="C8" s="5"/>
      <c r="D8" s="5"/>
      <c r="E8" s="5"/>
      <c r="F8" s="5"/>
      <c r="G8" s="5"/>
      <c r="H8" s="5"/>
    </row>
    <row r="9" spans="1:8">
      <c r="A9" s="4">
        <v>20000</v>
      </c>
      <c r="B9" s="5"/>
      <c r="C9" s="5"/>
      <c r="D9" s="5"/>
      <c r="E9" s="5"/>
      <c r="F9" s="5"/>
      <c r="G9" s="5"/>
      <c r="H9" s="5"/>
    </row>
    <row r="10" spans="1:8">
      <c r="A10" s="7">
        <v>50000</v>
      </c>
      <c r="B10" s="5"/>
      <c r="C10" s="5"/>
      <c r="D10" s="5"/>
      <c r="E10" s="5"/>
      <c r="F10" s="5"/>
      <c r="G10" s="5"/>
      <c r="H10" s="5"/>
    </row>
    <row r="11" spans="1:8">
      <c r="A11" s="4">
        <v>60000</v>
      </c>
      <c r="B11" s="5"/>
      <c r="C11" s="5"/>
      <c r="D11" s="5"/>
      <c r="E11" s="5"/>
      <c r="F11" s="5"/>
      <c r="G11" s="5"/>
      <c r="H11" s="5"/>
    </row>
    <row r="12" spans="1:8">
      <c r="A12" s="4">
        <v>70000</v>
      </c>
      <c r="B12" s="5"/>
      <c r="C12" s="5"/>
      <c r="D12" s="5"/>
      <c r="E12" s="5"/>
      <c r="F12" s="5"/>
      <c r="G12" s="5"/>
      <c r="H12" s="5"/>
    </row>
    <row r="13" spans="1:8">
      <c r="A13" s="4">
        <v>80000</v>
      </c>
      <c r="B13" s="5"/>
      <c r="C13" s="5"/>
      <c r="D13" s="5"/>
      <c r="E13" s="5"/>
      <c r="F13" s="5"/>
      <c r="G13" s="5"/>
      <c r="H13" s="5"/>
    </row>
    <row r="15" ht="84" customHeight="1" spans="1:2">
      <c r="A15" s="8" t="s">
        <v>85</v>
      </c>
      <c r="B15" s="11"/>
    </row>
    <row r="16" ht="17.6" customHeight="1" spans="1:2">
      <c r="A16" s="8" t="s">
        <v>86</v>
      </c>
      <c r="B16" s="11"/>
    </row>
    <row r="17" ht="34" customHeight="1" spans="1:2">
      <c r="A17" s="8" t="s">
        <v>87</v>
      </c>
      <c r="B17" s="11"/>
    </row>
    <row r="18" ht="17.6" customHeight="1" spans="1:2">
      <c r="A18" s="12" t="s">
        <v>88</v>
      </c>
      <c r="B18" s="11"/>
    </row>
    <row r="19" ht="68" customHeight="1" spans="1:2">
      <c r="A19" s="8" t="s">
        <v>89</v>
      </c>
      <c r="B19" s="11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A1" sqref="A1"/>
    </sheetView>
  </sheetViews>
  <sheetFormatPr defaultColWidth="9" defaultRowHeight="16.8" outlineLevelCol="7"/>
  <cols>
    <col min="1" max="1" width="14.6015625" customWidth="1"/>
    <col min="2" max="2" width="15.6015625" customWidth="1"/>
    <col min="3" max="3" width="13" customWidth="1"/>
    <col min="4" max="4" width="15.8984375" customWidth="1"/>
    <col min="5" max="5" width="18.5" customWidth="1"/>
    <col min="6" max="6" width="15.8984375" customWidth="1"/>
    <col min="7" max="7" width="19.3984375" customWidth="1"/>
    <col min="8" max="8" width="27.3984375" customWidth="1"/>
  </cols>
  <sheetData>
    <row r="1" ht="58" customHeight="1" spans="1:8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3" t="s">
        <v>70</v>
      </c>
      <c r="H1" s="13" t="s">
        <v>71</v>
      </c>
    </row>
    <row r="2" ht="84" customHeight="1" spans="1:8">
      <c r="A2" s="2" t="s">
        <v>77</v>
      </c>
      <c r="B2" s="3" t="s">
        <v>78</v>
      </c>
      <c r="C2" s="2" t="s">
        <v>91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</row>
    <row r="3" spans="1:8">
      <c r="A3" s="5">
        <v>1500</v>
      </c>
      <c r="B3" s="5"/>
      <c r="C3" s="5"/>
      <c r="D3" s="5"/>
      <c r="E3" s="5"/>
      <c r="F3" s="5"/>
      <c r="G3" s="5"/>
      <c r="H3" s="5"/>
    </row>
    <row r="4" spans="1:8">
      <c r="A4" s="5">
        <v>1800</v>
      </c>
      <c r="B4" s="5"/>
      <c r="C4" s="5"/>
      <c r="D4" s="5"/>
      <c r="E4" s="5"/>
      <c r="F4" s="5"/>
      <c r="G4" s="5"/>
      <c r="H4" s="5"/>
    </row>
    <row r="5" spans="1:8">
      <c r="A5" s="5">
        <v>2000</v>
      </c>
      <c r="B5" s="5"/>
      <c r="C5" s="5"/>
      <c r="D5" s="5"/>
      <c r="E5" s="5"/>
      <c r="F5" s="5"/>
      <c r="G5" s="5"/>
      <c r="H5" s="5"/>
    </row>
    <row r="6" spans="1:8">
      <c r="A6" s="6"/>
      <c r="B6" s="5"/>
      <c r="C6" s="5"/>
      <c r="D6" s="5"/>
      <c r="E6" s="5"/>
      <c r="F6" s="5"/>
      <c r="G6" s="5"/>
      <c r="H6" s="5"/>
    </row>
    <row r="7" spans="1:8">
      <c r="A7" s="5">
        <v>3000</v>
      </c>
      <c r="B7" s="5"/>
      <c r="C7" s="5"/>
      <c r="D7" s="5"/>
      <c r="E7" s="5"/>
      <c r="F7" s="5"/>
      <c r="G7" s="5"/>
      <c r="H7" s="5"/>
    </row>
    <row r="8" spans="1:8">
      <c r="A8" s="5">
        <v>3500</v>
      </c>
      <c r="B8" s="5"/>
      <c r="C8" s="5"/>
      <c r="D8" s="5"/>
      <c r="E8" s="5"/>
      <c r="F8" s="5"/>
      <c r="G8" s="5"/>
      <c r="H8" s="5"/>
    </row>
    <row r="9" spans="1:8">
      <c r="A9" s="5">
        <v>3800</v>
      </c>
      <c r="B9" s="5"/>
      <c r="C9" s="5"/>
      <c r="D9" s="5"/>
      <c r="E9" s="5"/>
      <c r="F9" s="5"/>
      <c r="G9" s="5"/>
      <c r="H9" s="5"/>
    </row>
    <row r="10" spans="1:8">
      <c r="A10" s="6">
        <v>4500</v>
      </c>
      <c r="B10" s="5"/>
      <c r="C10" s="5"/>
      <c r="D10" s="5"/>
      <c r="E10" s="5"/>
      <c r="F10" s="5"/>
      <c r="G10" s="14"/>
      <c r="H10" s="14"/>
    </row>
    <row r="11" spans="1:8">
      <c r="A11" s="5">
        <v>4800</v>
      </c>
      <c r="B11" s="5"/>
      <c r="C11" s="5"/>
      <c r="D11" s="5"/>
      <c r="E11" s="5"/>
      <c r="F11" s="5"/>
      <c r="G11" s="5"/>
      <c r="H11" s="5"/>
    </row>
    <row r="12" spans="1:8">
      <c r="A12" s="5">
        <v>5000</v>
      </c>
      <c r="B12" s="5"/>
      <c r="C12" s="5"/>
      <c r="D12" s="5"/>
      <c r="E12" s="5"/>
      <c r="F12" s="5"/>
      <c r="G12" s="5"/>
      <c r="H12" s="5"/>
    </row>
    <row r="13" spans="1:8">
      <c r="A13" s="5">
        <v>5200</v>
      </c>
      <c r="B13" s="5"/>
      <c r="C13" s="5"/>
      <c r="D13" s="5"/>
      <c r="E13" s="5"/>
      <c r="F13" s="5"/>
      <c r="G13" s="5"/>
      <c r="H13" s="5"/>
    </row>
    <row r="15" ht="84" customHeight="1" spans="1:2">
      <c r="A15" s="8" t="s">
        <v>85</v>
      </c>
      <c r="B15" s="11"/>
    </row>
    <row r="16" ht="17.6" customHeight="1" spans="1:2">
      <c r="A16" s="8" t="s">
        <v>86</v>
      </c>
      <c r="B16" s="11"/>
    </row>
    <row r="17" ht="34" customHeight="1" spans="1:2">
      <c r="A17" s="8" t="s">
        <v>87</v>
      </c>
      <c r="B17" s="11"/>
    </row>
    <row r="18" ht="17.6" customHeight="1" spans="1:2">
      <c r="A18" s="12" t="s">
        <v>88</v>
      </c>
      <c r="B18" s="11"/>
    </row>
    <row r="19" ht="68" customHeight="1" spans="1:2">
      <c r="A19" s="8" t="s">
        <v>89</v>
      </c>
      <c r="B19" s="11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A1" sqref="A1"/>
    </sheetView>
  </sheetViews>
  <sheetFormatPr defaultColWidth="9" defaultRowHeight="16.8" outlineLevelCol="7"/>
  <cols>
    <col min="1" max="1" width="14.6015625" customWidth="1"/>
    <col min="2" max="2" width="15.6015625" customWidth="1"/>
    <col min="3" max="3" width="13" customWidth="1"/>
    <col min="4" max="4" width="15.8984375" customWidth="1"/>
    <col min="5" max="5" width="18.5" customWidth="1"/>
    <col min="6" max="6" width="15.8984375" customWidth="1"/>
    <col min="7" max="7" width="19.3984375" customWidth="1"/>
    <col min="8" max="8" width="27.3984375" customWidth="1"/>
  </cols>
  <sheetData>
    <row r="1" ht="58" customHeight="1" spans="1:8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3" t="s">
        <v>70</v>
      </c>
      <c r="H1" s="13" t="s">
        <v>71</v>
      </c>
    </row>
    <row r="2" ht="84" customHeight="1" spans="1:8">
      <c r="A2" s="2" t="s">
        <v>77</v>
      </c>
      <c r="B2" s="3" t="s">
        <v>78</v>
      </c>
      <c r="C2" s="2" t="s">
        <v>79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</row>
    <row r="3" spans="1:8">
      <c r="A3" s="4">
        <v>2000</v>
      </c>
      <c r="B3" s="5"/>
      <c r="C3" s="5"/>
      <c r="D3" s="5"/>
      <c r="E3" s="5"/>
      <c r="F3" s="5"/>
      <c r="G3" s="5"/>
      <c r="H3" s="5"/>
    </row>
    <row r="4" spans="1:8">
      <c r="A4" s="4">
        <v>2500</v>
      </c>
      <c r="B4" s="5"/>
      <c r="C4" s="5"/>
      <c r="D4" s="5"/>
      <c r="E4" s="5"/>
      <c r="F4" s="5"/>
      <c r="G4" s="5"/>
      <c r="H4" s="5"/>
    </row>
    <row r="5" spans="1:8">
      <c r="A5" s="4">
        <v>3000</v>
      </c>
      <c r="B5" s="5"/>
      <c r="C5" s="5"/>
      <c r="D5" s="5"/>
      <c r="E5" s="5"/>
      <c r="F5" s="5"/>
      <c r="G5" s="5"/>
      <c r="H5" s="5"/>
    </row>
    <row r="6" spans="1:8">
      <c r="A6" s="6"/>
      <c r="B6" s="5"/>
      <c r="C6" s="5"/>
      <c r="D6" s="5"/>
      <c r="E6" s="5"/>
      <c r="F6" s="5"/>
      <c r="G6" s="5"/>
      <c r="H6" s="5"/>
    </row>
    <row r="7" spans="1:8">
      <c r="A7" s="4">
        <v>4000</v>
      </c>
      <c r="B7" s="5"/>
      <c r="C7" s="5"/>
      <c r="D7" s="5"/>
      <c r="E7" s="5"/>
      <c r="F7" s="5"/>
      <c r="G7" s="5"/>
      <c r="H7" s="5"/>
    </row>
    <row r="8" spans="1:8">
      <c r="A8" s="4">
        <v>4500</v>
      </c>
      <c r="B8" s="5"/>
      <c r="C8" s="5"/>
      <c r="D8" s="5"/>
      <c r="E8" s="5"/>
      <c r="F8" s="5"/>
      <c r="G8" s="5"/>
      <c r="H8" s="5"/>
    </row>
    <row r="9" spans="1:8">
      <c r="A9" s="4">
        <v>5000</v>
      </c>
      <c r="B9" s="5"/>
      <c r="C9" s="5"/>
      <c r="D9" s="5"/>
      <c r="E9" s="5"/>
      <c r="F9" s="5"/>
      <c r="G9" s="5"/>
      <c r="H9" s="5"/>
    </row>
    <row r="10" spans="1:8">
      <c r="A10" s="7">
        <v>6300</v>
      </c>
      <c r="B10" s="5"/>
      <c r="C10" s="5"/>
      <c r="D10" s="5"/>
      <c r="E10" s="5"/>
      <c r="F10" s="5"/>
      <c r="G10" s="5"/>
      <c r="H10" s="5"/>
    </row>
    <row r="11" spans="1:8">
      <c r="A11" s="4">
        <v>7000</v>
      </c>
      <c r="B11" s="5"/>
      <c r="C11" s="5"/>
      <c r="D11" s="5"/>
      <c r="E11" s="5"/>
      <c r="F11" s="5"/>
      <c r="G11" s="5"/>
      <c r="H11" s="5"/>
    </row>
    <row r="12" spans="1:8">
      <c r="A12" s="4">
        <v>7500</v>
      </c>
      <c r="B12" s="5"/>
      <c r="C12" s="5"/>
      <c r="D12" s="5"/>
      <c r="E12" s="5"/>
      <c r="F12" s="5"/>
      <c r="G12" s="5"/>
      <c r="H12" s="5"/>
    </row>
    <row r="13" spans="1:8">
      <c r="A13" s="4">
        <v>8000</v>
      </c>
      <c r="B13" s="5"/>
      <c r="C13" s="5"/>
      <c r="D13" s="5"/>
      <c r="E13" s="5"/>
      <c r="F13" s="5"/>
      <c r="G13" s="5"/>
      <c r="H13" s="5"/>
    </row>
    <row r="15" ht="84" customHeight="1" spans="1:2">
      <c r="A15" s="8" t="s">
        <v>85</v>
      </c>
      <c r="B15" s="11"/>
    </row>
    <row r="16" ht="17.6" customHeight="1" spans="1:2">
      <c r="A16" s="8" t="s">
        <v>86</v>
      </c>
      <c r="B16" s="11"/>
    </row>
    <row r="17" ht="34" customHeight="1" spans="1:2">
      <c r="A17" s="8" t="s">
        <v>87</v>
      </c>
      <c r="B17" s="11"/>
    </row>
    <row r="18" ht="17.6" customHeight="1" spans="1:2">
      <c r="A18" s="12" t="s">
        <v>88</v>
      </c>
      <c r="B18" s="11"/>
    </row>
    <row r="19" ht="68" customHeight="1" spans="1:2">
      <c r="A19" s="8" t="s">
        <v>89</v>
      </c>
      <c r="B19" s="11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A1" sqref="A1"/>
    </sheetView>
  </sheetViews>
  <sheetFormatPr defaultColWidth="9" defaultRowHeight="16.8" outlineLevelCol="7"/>
  <cols>
    <col min="1" max="1" width="14.6015625" customWidth="1"/>
    <col min="2" max="2" width="15.6015625" customWidth="1"/>
    <col min="3" max="3" width="13" customWidth="1"/>
    <col min="4" max="4" width="15.8984375" customWidth="1"/>
    <col min="5" max="5" width="18.5" customWidth="1"/>
    <col min="6" max="6" width="15.8984375" customWidth="1"/>
    <col min="7" max="7" width="19.3984375" customWidth="1"/>
    <col min="8" max="8" width="27.3984375" customWidth="1"/>
  </cols>
  <sheetData>
    <row r="1" ht="58" customHeight="1" spans="1:8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3" t="s">
        <v>70</v>
      </c>
      <c r="H1" s="13" t="s">
        <v>71</v>
      </c>
    </row>
    <row r="2" ht="84" customHeight="1" spans="1:8">
      <c r="A2" s="2" t="s">
        <v>77</v>
      </c>
      <c r="B2" s="3" t="s">
        <v>78</v>
      </c>
      <c r="C2" s="2" t="s">
        <v>79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</row>
    <row r="3" spans="1:8">
      <c r="A3" s="4">
        <v>1500</v>
      </c>
      <c r="B3" s="5"/>
      <c r="C3" s="5"/>
      <c r="D3" s="5"/>
      <c r="E3" s="5"/>
      <c r="F3" s="5"/>
      <c r="G3" s="5"/>
      <c r="H3" s="5"/>
    </row>
    <row r="4" spans="1:8">
      <c r="A4" s="4">
        <v>1800</v>
      </c>
      <c r="B4" s="5"/>
      <c r="C4" s="5"/>
      <c r="D4" s="5"/>
      <c r="E4" s="5"/>
      <c r="F4" s="5"/>
      <c r="G4" s="5"/>
      <c r="H4" s="5"/>
    </row>
    <row r="5" spans="1:8">
      <c r="A5" s="4">
        <v>2000</v>
      </c>
      <c r="B5" s="5"/>
      <c r="C5" s="5"/>
      <c r="D5" s="5"/>
      <c r="E5" s="5"/>
      <c r="F5" s="5"/>
      <c r="G5" s="5"/>
      <c r="H5" s="5"/>
    </row>
    <row r="6" spans="1:8">
      <c r="A6" s="6"/>
      <c r="B6" s="5"/>
      <c r="C6" s="5"/>
      <c r="D6" s="5"/>
      <c r="E6" s="5"/>
      <c r="F6" s="5"/>
      <c r="G6" s="5"/>
      <c r="H6" s="5"/>
    </row>
    <row r="7" spans="1:8">
      <c r="A7" s="15">
        <v>2200</v>
      </c>
      <c r="B7" s="5"/>
      <c r="C7" s="5"/>
      <c r="D7" s="5"/>
      <c r="E7" s="5"/>
      <c r="F7" s="5"/>
      <c r="G7" s="5"/>
      <c r="H7" s="5"/>
    </row>
    <row r="8" spans="1:8">
      <c r="A8" s="4">
        <v>3000</v>
      </c>
      <c r="B8" s="5"/>
      <c r="C8" s="5"/>
      <c r="D8" s="5"/>
      <c r="E8" s="5"/>
      <c r="F8" s="5"/>
      <c r="G8" s="5"/>
      <c r="H8" s="5"/>
    </row>
    <row r="9" spans="1:8">
      <c r="A9" s="4">
        <v>4000</v>
      </c>
      <c r="B9" s="5"/>
      <c r="C9" s="5"/>
      <c r="D9" s="5"/>
      <c r="E9" s="5"/>
      <c r="F9" s="5"/>
      <c r="G9" s="5"/>
      <c r="H9" s="5"/>
    </row>
    <row r="10" spans="1:8">
      <c r="A10" s="7">
        <v>7000</v>
      </c>
      <c r="B10" s="5"/>
      <c r="C10" s="5"/>
      <c r="D10" s="5"/>
      <c r="E10" s="5"/>
      <c r="F10" s="5"/>
      <c r="G10" s="5"/>
      <c r="H10" s="5"/>
    </row>
    <row r="11" spans="1:8">
      <c r="A11" s="4">
        <v>8000</v>
      </c>
      <c r="B11" s="5"/>
      <c r="C11" s="5"/>
      <c r="D11" s="5"/>
      <c r="E11" s="5"/>
      <c r="F11" s="5"/>
      <c r="G11" s="5"/>
      <c r="H11" s="5"/>
    </row>
    <row r="12" spans="1:8">
      <c r="A12" s="4">
        <v>9000</v>
      </c>
      <c r="B12" s="5"/>
      <c r="C12" s="5"/>
      <c r="D12" s="5"/>
      <c r="E12" s="5"/>
      <c r="F12" s="5"/>
      <c r="G12" s="5"/>
      <c r="H12" s="5"/>
    </row>
    <row r="13" spans="1:8">
      <c r="A13" s="4">
        <v>10000</v>
      </c>
      <c r="B13" s="5"/>
      <c r="C13" s="5"/>
      <c r="D13" s="5"/>
      <c r="E13" s="5"/>
      <c r="F13" s="5"/>
      <c r="G13" s="5"/>
      <c r="H13" s="5"/>
    </row>
    <row r="15" ht="84" customHeight="1" spans="1:2">
      <c r="A15" s="8" t="s">
        <v>85</v>
      </c>
      <c r="B15" s="10"/>
    </row>
    <row r="16" ht="17.6" customHeight="1" spans="1:2">
      <c r="A16" s="8" t="s">
        <v>86</v>
      </c>
      <c r="B16" s="11"/>
    </row>
    <row r="17" ht="34" customHeight="1" spans="1:2">
      <c r="A17" s="8" t="s">
        <v>87</v>
      </c>
      <c r="B17" s="11"/>
    </row>
    <row r="18" ht="17.6" customHeight="1" spans="1:2">
      <c r="A18" s="12" t="s">
        <v>88</v>
      </c>
      <c r="B18" s="11"/>
    </row>
    <row r="19" ht="68" customHeight="1" spans="1:2">
      <c r="A19" s="8" t="s">
        <v>89</v>
      </c>
      <c r="B19" s="11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A1" sqref="A1"/>
    </sheetView>
  </sheetViews>
  <sheetFormatPr defaultColWidth="9" defaultRowHeight="16.8" outlineLevelCol="7"/>
  <cols>
    <col min="1" max="1" width="14.6015625" customWidth="1"/>
    <col min="2" max="2" width="15.6015625" customWidth="1"/>
    <col min="3" max="3" width="13" customWidth="1"/>
    <col min="4" max="4" width="15.8984375" customWidth="1"/>
    <col min="5" max="5" width="18.5" customWidth="1"/>
    <col min="6" max="6" width="15.8984375" customWidth="1"/>
    <col min="7" max="7" width="19.3984375" customWidth="1"/>
    <col min="8" max="8" width="27.3984375" customWidth="1"/>
  </cols>
  <sheetData>
    <row r="1" ht="58" customHeight="1" spans="1:8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3" t="s">
        <v>70</v>
      </c>
      <c r="H1" s="13" t="s">
        <v>71</v>
      </c>
    </row>
    <row r="2" ht="84" customHeight="1" spans="1:8">
      <c r="A2" s="2" t="s">
        <v>77</v>
      </c>
      <c r="B2" s="3" t="s">
        <v>78</v>
      </c>
      <c r="C2" s="2" t="s">
        <v>79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</row>
    <row r="3" spans="1:8">
      <c r="A3" s="4">
        <v>1300</v>
      </c>
      <c r="B3" s="5"/>
      <c r="C3" s="5"/>
      <c r="D3" s="5"/>
      <c r="E3" s="5"/>
      <c r="F3" s="5"/>
      <c r="G3" s="5"/>
      <c r="H3" s="5"/>
    </row>
    <row r="4" spans="1:8">
      <c r="A4" s="4">
        <v>1500</v>
      </c>
      <c r="B4" s="5"/>
      <c r="C4" s="5"/>
      <c r="D4" s="5"/>
      <c r="E4" s="5"/>
      <c r="F4" s="5"/>
      <c r="G4" s="5"/>
      <c r="H4" s="5"/>
    </row>
    <row r="5" spans="1:8">
      <c r="A5" s="4">
        <v>1600</v>
      </c>
      <c r="B5" s="5"/>
      <c r="C5" s="5"/>
      <c r="D5" s="5"/>
      <c r="E5" s="5"/>
      <c r="F5" s="5"/>
      <c r="G5" s="5"/>
      <c r="H5" s="5"/>
    </row>
    <row r="6" spans="1:8">
      <c r="A6" s="6"/>
      <c r="B6" s="5"/>
      <c r="C6" s="5"/>
      <c r="D6" s="5"/>
      <c r="E6" s="5"/>
      <c r="F6" s="5"/>
      <c r="G6" s="5"/>
      <c r="H6" s="5"/>
    </row>
    <row r="7" spans="1:8">
      <c r="A7" s="4">
        <v>2000</v>
      </c>
      <c r="B7" s="5"/>
      <c r="C7" s="5"/>
      <c r="D7" s="5"/>
      <c r="E7" s="5"/>
      <c r="F7" s="5"/>
      <c r="G7" s="5"/>
      <c r="H7" s="5"/>
    </row>
    <row r="8" spans="1:8">
      <c r="A8" s="4">
        <v>3000</v>
      </c>
      <c r="B8" s="5"/>
      <c r="C8" s="5"/>
      <c r="D8" s="5"/>
      <c r="E8" s="5"/>
      <c r="F8" s="5"/>
      <c r="G8" s="5"/>
      <c r="H8" s="5"/>
    </row>
    <row r="9" spans="1:8">
      <c r="A9" s="4">
        <v>4000</v>
      </c>
      <c r="B9" s="5"/>
      <c r="C9" s="5"/>
      <c r="D9" s="5"/>
      <c r="E9" s="5"/>
      <c r="F9" s="5"/>
      <c r="G9" s="5"/>
      <c r="H9" s="5"/>
    </row>
    <row r="10" spans="1:8">
      <c r="A10" s="7">
        <v>6000</v>
      </c>
      <c r="B10" s="5"/>
      <c r="C10" s="5"/>
      <c r="D10" s="5"/>
      <c r="E10" s="5"/>
      <c r="F10" s="5"/>
      <c r="G10" s="5"/>
      <c r="H10" s="5"/>
    </row>
    <row r="11" spans="1:8">
      <c r="A11" s="4">
        <v>7000</v>
      </c>
      <c r="B11" s="5"/>
      <c r="C11" s="5"/>
      <c r="D11" s="5"/>
      <c r="E11" s="5"/>
      <c r="F11" s="5"/>
      <c r="G11" s="5"/>
      <c r="H11" s="5"/>
    </row>
    <row r="12" spans="1:8">
      <c r="A12" s="4">
        <v>8000</v>
      </c>
      <c r="B12" s="5"/>
      <c r="C12" s="5"/>
      <c r="D12" s="5"/>
      <c r="E12" s="5"/>
      <c r="F12" s="5"/>
      <c r="G12" s="5"/>
      <c r="H12" s="5"/>
    </row>
    <row r="13" spans="1:8">
      <c r="A13" s="4">
        <v>9000</v>
      </c>
      <c r="B13" s="5"/>
      <c r="C13" s="5"/>
      <c r="D13" s="5"/>
      <c r="E13" s="5"/>
      <c r="F13" s="5"/>
      <c r="G13" s="5"/>
      <c r="H13" s="5"/>
    </row>
    <row r="15" ht="84" customHeight="1" spans="1:2">
      <c r="A15" s="8" t="s">
        <v>85</v>
      </c>
      <c r="B15" s="11"/>
    </row>
    <row r="16" ht="17.6" customHeight="1" spans="1:2">
      <c r="A16" s="8" t="s">
        <v>86</v>
      </c>
      <c r="B16" s="11"/>
    </row>
    <row r="17" ht="34" customHeight="1" spans="1:2">
      <c r="A17" s="8" t="s">
        <v>87</v>
      </c>
      <c r="B17" s="11"/>
    </row>
    <row r="18" ht="17.6" customHeight="1" spans="1:2">
      <c r="A18" s="12" t="s">
        <v>88</v>
      </c>
      <c r="B18" s="11"/>
    </row>
    <row r="19" ht="68" customHeight="1" spans="1:2">
      <c r="A19" s="8" t="s">
        <v>89</v>
      </c>
      <c r="B19" s="11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G3" sqref="G3"/>
    </sheetView>
  </sheetViews>
  <sheetFormatPr defaultColWidth="9" defaultRowHeight="16.8" outlineLevelCol="7"/>
  <cols>
    <col min="1" max="1" width="14.6015625" customWidth="1"/>
    <col min="2" max="2" width="15.6015625" customWidth="1"/>
    <col min="3" max="3" width="13" customWidth="1"/>
    <col min="4" max="4" width="15.8984375" customWidth="1"/>
    <col min="5" max="5" width="18.5" customWidth="1"/>
    <col min="6" max="6" width="13" customWidth="1"/>
    <col min="7" max="7" width="19.3984375" customWidth="1"/>
    <col min="8" max="8" width="27.3984375" customWidth="1"/>
  </cols>
  <sheetData>
    <row r="1" ht="58" customHeight="1" spans="1:8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3" t="s">
        <v>70</v>
      </c>
      <c r="H1" s="13" t="s">
        <v>71</v>
      </c>
    </row>
    <row r="2" ht="84" customHeight="1" spans="1:8">
      <c r="A2" s="2" t="s">
        <v>77</v>
      </c>
      <c r="B2" s="3" t="s">
        <v>78</v>
      </c>
      <c r="C2" s="2" t="s">
        <v>79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</row>
    <row r="3" spans="1:8">
      <c r="A3" s="4">
        <v>1000</v>
      </c>
      <c r="B3" s="5">
        <f>$B$16/1000</f>
        <v>56.9968</v>
      </c>
      <c r="C3" s="5">
        <f t="shared" ref="C3:C13" si="0">$B$17/1000*A3</f>
        <v>170.54</v>
      </c>
      <c r="D3" s="5">
        <f t="shared" ref="D3:D13" si="1">B3+C3</f>
        <v>227.5368</v>
      </c>
      <c r="E3" s="5">
        <f t="shared" ref="E3:E13" si="2">A3*$B$18/1000</f>
        <v>211.656573818182</v>
      </c>
      <c r="F3" s="5">
        <f t="shared" ref="F3:F13" si="3">E3-D3</f>
        <v>-15.8802261818182</v>
      </c>
      <c r="G3" s="5">
        <f t="shared" ref="G3:G13" si="4">E3-$E$6</f>
        <v>-81.7469441876287</v>
      </c>
      <c r="H3" s="5">
        <f t="shared" ref="H3:H13" si="5">G3/E3*100</f>
        <v>-38.6224451775598</v>
      </c>
    </row>
    <row r="4" spans="1:8">
      <c r="A4" s="4">
        <v>1100</v>
      </c>
      <c r="B4" s="5">
        <f t="shared" ref="B3:B13" si="6">$B$16/1000</f>
        <v>56.9968</v>
      </c>
      <c r="C4" s="5">
        <f t="shared" si="0"/>
        <v>187.594</v>
      </c>
      <c r="D4" s="5">
        <f t="shared" si="1"/>
        <v>244.5908</v>
      </c>
      <c r="E4" s="5">
        <f t="shared" si="2"/>
        <v>232.8222312</v>
      </c>
      <c r="F4" s="5">
        <f t="shared" si="3"/>
        <v>-11.7685688</v>
      </c>
      <c r="G4" s="5">
        <f t="shared" si="4"/>
        <v>-60.5812868058105</v>
      </c>
      <c r="H4" s="5">
        <f t="shared" si="5"/>
        <v>-26.0204047068726</v>
      </c>
    </row>
    <row r="5" spans="1:8">
      <c r="A5" s="4">
        <v>1200</v>
      </c>
      <c r="B5" s="5">
        <f t="shared" si="6"/>
        <v>56.9968</v>
      </c>
      <c r="C5" s="5">
        <f t="shared" si="0"/>
        <v>204.648</v>
      </c>
      <c r="D5" s="5">
        <f t="shared" si="1"/>
        <v>261.6448</v>
      </c>
      <c r="E5" s="5">
        <f t="shared" si="2"/>
        <v>253.987888581818</v>
      </c>
      <c r="F5" s="5">
        <f t="shared" si="3"/>
        <v>-7.65691141818181</v>
      </c>
      <c r="G5" s="5">
        <f t="shared" si="4"/>
        <v>-39.4156294239923</v>
      </c>
      <c r="H5" s="5">
        <f t="shared" si="5"/>
        <v>-15.5187043146332</v>
      </c>
    </row>
    <row r="6" spans="1:8">
      <c r="A6" s="6">
        <f>B15</f>
        <v>1386.2244517756</v>
      </c>
      <c r="B6" s="5">
        <f t="shared" si="6"/>
        <v>56.9968</v>
      </c>
      <c r="C6" s="5">
        <f t="shared" si="0"/>
        <v>236.40671800581</v>
      </c>
      <c r="D6" s="5">
        <f t="shared" si="1"/>
        <v>293.40351800581</v>
      </c>
      <c r="E6" s="5">
        <f t="shared" si="2"/>
        <v>293.40351800581</v>
      </c>
      <c r="F6" s="14">
        <f t="shared" si="3"/>
        <v>0</v>
      </c>
      <c r="G6" s="5">
        <f t="shared" si="4"/>
        <v>0</v>
      </c>
      <c r="H6" s="5">
        <f t="shared" si="5"/>
        <v>0</v>
      </c>
    </row>
    <row r="7" spans="1:8">
      <c r="A7" s="4">
        <v>1500</v>
      </c>
      <c r="B7" s="5">
        <f t="shared" si="6"/>
        <v>56.9968</v>
      </c>
      <c r="C7" s="5">
        <f t="shared" si="0"/>
        <v>255.81</v>
      </c>
      <c r="D7" s="5">
        <f t="shared" si="1"/>
        <v>312.8068</v>
      </c>
      <c r="E7" s="5">
        <f t="shared" si="2"/>
        <v>317.484860727273</v>
      </c>
      <c r="F7" s="5">
        <f t="shared" si="3"/>
        <v>4.67806072727268</v>
      </c>
      <c r="G7" s="5">
        <f t="shared" si="4"/>
        <v>24.0813427214622</v>
      </c>
      <c r="H7" s="5">
        <f t="shared" si="5"/>
        <v>7.58503654829345</v>
      </c>
    </row>
    <row r="8" spans="1:8">
      <c r="A8" s="4">
        <v>3000</v>
      </c>
      <c r="B8" s="5">
        <f t="shared" si="6"/>
        <v>56.9968</v>
      </c>
      <c r="C8" s="5">
        <f t="shared" si="0"/>
        <v>511.62</v>
      </c>
      <c r="D8" s="5">
        <f t="shared" si="1"/>
        <v>568.6168</v>
      </c>
      <c r="E8" s="5">
        <f t="shared" si="2"/>
        <v>634.969721454545</v>
      </c>
      <c r="F8" s="5">
        <f t="shared" si="3"/>
        <v>66.3529214545454</v>
      </c>
      <c r="G8" s="5">
        <f t="shared" si="4"/>
        <v>341.566203448735</v>
      </c>
      <c r="H8" s="5">
        <f t="shared" si="5"/>
        <v>53.7925182741467</v>
      </c>
    </row>
    <row r="9" spans="1:8">
      <c r="A9" s="4">
        <v>4000</v>
      </c>
      <c r="B9" s="5">
        <f t="shared" si="6"/>
        <v>56.9968</v>
      </c>
      <c r="C9" s="5">
        <f t="shared" si="0"/>
        <v>682.16</v>
      </c>
      <c r="D9" s="5">
        <f t="shared" si="1"/>
        <v>739.1568</v>
      </c>
      <c r="E9" s="5">
        <f t="shared" si="2"/>
        <v>846.626295272727</v>
      </c>
      <c r="F9" s="5">
        <f t="shared" si="3"/>
        <v>107.469495272727</v>
      </c>
      <c r="G9" s="5">
        <f t="shared" si="4"/>
        <v>553.222777266917</v>
      </c>
      <c r="H9" s="5">
        <f t="shared" si="5"/>
        <v>65.34438870561</v>
      </c>
    </row>
    <row r="10" spans="1:8">
      <c r="A10" s="7">
        <v>5500</v>
      </c>
      <c r="B10" s="5">
        <f t="shared" si="6"/>
        <v>56.9968</v>
      </c>
      <c r="C10" s="5">
        <f t="shared" si="0"/>
        <v>937.97</v>
      </c>
      <c r="D10" s="5">
        <f t="shared" si="1"/>
        <v>994.9668</v>
      </c>
      <c r="E10" s="5">
        <f t="shared" si="2"/>
        <v>1164.111156</v>
      </c>
      <c r="F10" s="14">
        <f t="shared" si="3"/>
        <v>169.144356</v>
      </c>
      <c r="G10" s="5">
        <f t="shared" si="4"/>
        <v>870.707637994189</v>
      </c>
      <c r="H10" s="14">
        <f t="shared" si="5"/>
        <v>74.7959190586255</v>
      </c>
    </row>
    <row r="11" spans="1:8">
      <c r="A11" s="4">
        <v>6000</v>
      </c>
      <c r="B11" s="5">
        <f t="shared" si="6"/>
        <v>56.9968</v>
      </c>
      <c r="C11" s="5">
        <f t="shared" si="0"/>
        <v>1023.24</v>
      </c>
      <c r="D11" s="5">
        <f t="shared" si="1"/>
        <v>1080.2368</v>
      </c>
      <c r="E11" s="5">
        <f t="shared" si="2"/>
        <v>1269.93944290909</v>
      </c>
      <c r="F11" s="5">
        <f t="shared" si="3"/>
        <v>189.702642909091</v>
      </c>
      <c r="G11" s="5">
        <f t="shared" si="4"/>
        <v>976.53592490328</v>
      </c>
      <c r="H11" s="5">
        <f t="shared" si="5"/>
        <v>76.8962591370734</v>
      </c>
    </row>
    <row r="12" spans="1:8">
      <c r="A12" s="4">
        <v>7000</v>
      </c>
      <c r="B12" s="5">
        <f t="shared" si="6"/>
        <v>56.9968</v>
      </c>
      <c r="C12" s="5">
        <f t="shared" si="0"/>
        <v>1193.78</v>
      </c>
      <c r="D12" s="5">
        <f t="shared" si="1"/>
        <v>1250.7768</v>
      </c>
      <c r="E12" s="5">
        <f t="shared" si="2"/>
        <v>1481.59601672727</v>
      </c>
      <c r="F12" s="5">
        <f t="shared" si="3"/>
        <v>230.819216727273</v>
      </c>
      <c r="G12" s="5">
        <f t="shared" si="4"/>
        <v>1188.19249872146</v>
      </c>
      <c r="H12" s="5">
        <f t="shared" si="5"/>
        <v>80.1967935460629</v>
      </c>
    </row>
    <row r="13" spans="1:8">
      <c r="A13" s="4">
        <v>8000</v>
      </c>
      <c r="B13" s="5">
        <f t="shared" si="6"/>
        <v>56.9968</v>
      </c>
      <c r="C13" s="5">
        <f t="shared" si="0"/>
        <v>1364.32</v>
      </c>
      <c r="D13" s="5">
        <f t="shared" si="1"/>
        <v>1421.3168</v>
      </c>
      <c r="E13" s="5">
        <f t="shared" si="2"/>
        <v>1693.25259054545</v>
      </c>
      <c r="F13" s="5">
        <f t="shared" si="3"/>
        <v>271.935790545455</v>
      </c>
      <c r="G13" s="5">
        <f t="shared" si="4"/>
        <v>1399.84907253964</v>
      </c>
      <c r="H13" s="5">
        <f t="shared" si="5"/>
        <v>82.672194352805</v>
      </c>
    </row>
    <row r="15" ht="84" customHeight="1" spans="1:2">
      <c r="A15" s="8" t="s">
        <v>85</v>
      </c>
      <c r="B15" s="9">
        <f>B16/(B18-B17)</f>
        <v>1386.2244517756</v>
      </c>
    </row>
    <row r="16" ht="17.6" customHeight="1" spans="1:2">
      <c r="A16" s="8" t="s">
        <v>86</v>
      </c>
      <c r="B16" s="10">
        <f>(5000+4680+4680*26%+17150+2050+13000+1900+12000)</f>
        <v>56996.8</v>
      </c>
    </row>
    <row r="17" ht="34" customHeight="1" spans="1:2">
      <c r="A17" s="8" t="s">
        <v>87</v>
      </c>
      <c r="B17" s="9">
        <f>(((37*5500+360*0.36*5500+5000)+(4500+4680)+(4500+4680)*26%+17150+(2050+13000+1900+12000+16000))-((5000+4680+4680*26%+17150+2050+13000+1900+12000)))/5500</f>
        <v>170.54</v>
      </c>
    </row>
    <row r="18" ht="17.6" customHeight="1" spans="1:2">
      <c r="A18" s="12" t="s">
        <v>88</v>
      </c>
      <c r="B18" s="9">
        <f>((((37*5500+360*0.36*5500+5000)+(4500+4680)+(4500+4680)*26%+17150+(2050+13000+1900+12000+16000)))/5500)*(1+17%)</f>
        <v>211.656573818182</v>
      </c>
    </row>
    <row r="19" ht="68" customHeight="1" spans="1:2">
      <c r="A19" s="8" t="s">
        <v>89</v>
      </c>
      <c r="B19" s="10">
        <f>5500</f>
        <v>5500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A1" sqref="A1"/>
    </sheetView>
  </sheetViews>
  <sheetFormatPr defaultColWidth="9" defaultRowHeight="16.8" outlineLevelCol="7"/>
  <cols>
    <col min="1" max="1" width="14.6015625" customWidth="1"/>
    <col min="2" max="2" width="15.6015625" customWidth="1"/>
    <col min="3" max="3" width="13" customWidth="1"/>
    <col min="4" max="4" width="15.8984375" customWidth="1"/>
    <col min="5" max="5" width="18.5" customWidth="1"/>
    <col min="6" max="6" width="15.8984375" customWidth="1"/>
    <col min="7" max="7" width="19.3984375" customWidth="1"/>
    <col min="8" max="8" width="27.3984375" customWidth="1"/>
  </cols>
  <sheetData>
    <row r="1" ht="58" customHeight="1" spans="1:8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3" t="s">
        <v>70</v>
      </c>
      <c r="H1" s="13" t="s">
        <v>71</v>
      </c>
    </row>
    <row r="2" ht="84" customHeight="1" spans="1:8">
      <c r="A2" s="2" t="s">
        <v>77</v>
      </c>
      <c r="B2" s="3" t="s">
        <v>78</v>
      </c>
      <c r="C2" s="2" t="s">
        <v>79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</row>
    <row r="3" spans="1:8">
      <c r="A3" s="4">
        <v>1500</v>
      </c>
      <c r="B3" s="5"/>
      <c r="C3" s="5"/>
      <c r="D3" s="5"/>
      <c r="E3" s="5"/>
      <c r="F3" s="5"/>
      <c r="G3" s="5"/>
      <c r="H3" s="5"/>
    </row>
    <row r="4" spans="1:8">
      <c r="A4" s="4">
        <v>2000</v>
      </c>
      <c r="B4" s="5"/>
      <c r="C4" s="5"/>
      <c r="D4" s="5"/>
      <c r="E4" s="5"/>
      <c r="F4" s="5"/>
      <c r="G4" s="5"/>
      <c r="H4" s="5"/>
    </row>
    <row r="5" spans="1:8">
      <c r="A5" s="4">
        <v>2500</v>
      </c>
      <c r="B5" s="5"/>
      <c r="C5" s="5"/>
      <c r="D5" s="5"/>
      <c r="E5" s="5"/>
      <c r="F5" s="5"/>
      <c r="G5" s="5"/>
      <c r="H5" s="5"/>
    </row>
    <row r="6" spans="1:8">
      <c r="A6" s="6"/>
      <c r="B6" s="5"/>
      <c r="C6" s="5"/>
      <c r="D6" s="5"/>
      <c r="E6" s="5"/>
      <c r="F6" s="5"/>
      <c r="G6" s="5"/>
      <c r="H6" s="5"/>
    </row>
    <row r="7" spans="1:8">
      <c r="A7" s="4">
        <v>3000</v>
      </c>
      <c r="B7" s="5"/>
      <c r="C7" s="5"/>
      <c r="D7" s="5"/>
      <c r="E7" s="5"/>
      <c r="F7" s="5"/>
      <c r="G7" s="5"/>
      <c r="H7" s="5"/>
    </row>
    <row r="8" spans="1:8">
      <c r="A8" s="4">
        <v>3500</v>
      </c>
      <c r="B8" s="5"/>
      <c r="C8" s="5"/>
      <c r="D8" s="5"/>
      <c r="E8" s="5"/>
      <c r="F8" s="5"/>
      <c r="G8" s="5"/>
      <c r="H8" s="5"/>
    </row>
    <row r="9" spans="1:8">
      <c r="A9" s="4">
        <v>5000</v>
      </c>
      <c r="B9" s="5"/>
      <c r="C9" s="5"/>
      <c r="D9" s="5"/>
      <c r="E9" s="5"/>
      <c r="F9" s="5"/>
      <c r="G9" s="5"/>
      <c r="H9" s="5"/>
    </row>
    <row r="10" spans="1:8">
      <c r="A10" s="7">
        <v>7400</v>
      </c>
      <c r="B10" s="5"/>
      <c r="C10" s="5"/>
      <c r="D10" s="5"/>
      <c r="E10" s="5"/>
      <c r="F10" s="5"/>
      <c r="G10" s="5"/>
      <c r="H10" s="5"/>
    </row>
    <row r="11" spans="1:8">
      <c r="A11" s="4">
        <v>8000</v>
      </c>
      <c r="B11" s="5"/>
      <c r="C11" s="5"/>
      <c r="D11" s="5"/>
      <c r="E11" s="5"/>
      <c r="F11" s="5"/>
      <c r="G11" s="5"/>
      <c r="H11" s="5"/>
    </row>
    <row r="12" spans="1:8">
      <c r="A12" s="4">
        <v>9000</v>
      </c>
      <c r="B12" s="5"/>
      <c r="C12" s="5"/>
      <c r="D12" s="5"/>
      <c r="E12" s="5"/>
      <c r="F12" s="5"/>
      <c r="G12" s="5"/>
      <c r="H12" s="5"/>
    </row>
    <row r="13" spans="1:8">
      <c r="A13" s="4">
        <v>10000</v>
      </c>
      <c r="B13" s="5"/>
      <c r="C13" s="5"/>
      <c r="D13" s="5"/>
      <c r="E13" s="5"/>
      <c r="F13" s="5"/>
      <c r="G13" s="5"/>
      <c r="H13" s="5"/>
    </row>
    <row r="15" ht="84" customHeight="1" spans="1:2">
      <c r="A15" s="8" t="s">
        <v>85</v>
      </c>
      <c r="B15" s="9"/>
    </row>
    <row r="16" ht="34" customHeight="1" spans="1:2">
      <c r="A16" s="8" t="s">
        <v>78</v>
      </c>
      <c r="B16" s="10"/>
    </row>
    <row r="17" ht="34" customHeight="1" spans="1:2">
      <c r="A17" s="8" t="s">
        <v>87</v>
      </c>
      <c r="B17" s="11"/>
    </row>
    <row r="18" ht="17.6" customHeight="1" spans="1:2">
      <c r="A18" s="12" t="s">
        <v>88</v>
      </c>
      <c r="B18" s="11"/>
    </row>
    <row r="19" ht="68" customHeight="1" spans="1:2">
      <c r="A19" s="8" t="s">
        <v>89</v>
      </c>
      <c r="B19" s="1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Русский</vt:lpstr>
      <vt:lpstr>График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YanPaulovich</cp:lastModifiedBy>
  <dcterms:created xsi:type="dcterms:W3CDTF">2026-04-03T09:05:00Z</dcterms:created>
  <dcterms:modified xsi:type="dcterms:W3CDTF">2026-04-03T09:20:05Z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824071D95953E23A155CCF691CA4B6D8_42</vt:lpwstr>
  </property>
  <property fmtid="{D5CDD505-2E9C-101B-9397-08002B2CF9AE}" pid="3" name="KSOProductBuildVer">
    <vt:lpwstr>1033-12.1.22533.22533</vt:lpwstr>
  </property>
</Properties>
</file>